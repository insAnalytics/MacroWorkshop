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Dr. Goutam Das\Documents\Advanced Excel\Handson\"/>
    </mc:Choice>
  </mc:AlternateContent>
  <xr:revisionPtr revIDLastSave="0" documentId="13_ncr:1_{A8422ECB-96C6-44B9-AF1C-CAEF05CB611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EADME_FIRST" sheetId="1" r:id="rId1"/>
    <sheet name="Functions_Guide" sheetId="2" r:id="rId2"/>
    <sheet name="Pivot" sheetId="10" r:id="rId3"/>
    <sheet name="Pivot_and Charts" sheetId="11" r:id="rId4"/>
    <sheet name="Original_Data" sheetId="3" r:id="rId5"/>
    <sheet name="Power_Query_inserting text file" sheetId="15" r:id="rId6"/>
    <sheet name="CONCATENATE" sheetId="4" r:id="rId7"/>
    <sheet name="CHOOSE_FuelCategory" sheetId="5" r:id="rId8"/>
    <sheet name="MATCH_Ranking" sheetId="6" r:id="rId9"/>
    <sheet name="INDEX_Extract" sheetId="7" r:id="rId10"/>
    <sheet name="INDEX_MATCH" sheetId="8" r:id="rId11"/>
    <sheet name="Statistics" sheetId="9" r:id="rId12"/>
  </sheets>
  <definedNames>
    <definedName name="_xlcn.WorksheetConnection_Original_DataA1H501" hidden="1">Original_Data!$A$1:$H$50</definedName>
    <definedName name="ExternalData_1" localSheetId="5" hidden="1">'Power_Query_inserting text file'!$A$1:$E$7</definedName>
  </definedNames>
  <calcPr calcId="191029"/>
  <pivotCaches>
    <pivotCache cacheId="21" r:id="rId13"/>
    <pivotCache cacheId="29" r:id="rId14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Original_Data!$A$1:$H$5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7" l="1"/>
  <c r="E11" i="7" l="1"/>
  <c r="E10" i="7"/>
  <c r="E9" i="7"/>
  <c r="E8" i="7"/>
  <c r="E7" i="7"/>
  <c r="E6" i="7"/>
  <c r="E5" i="7"/>
  <c r="E4" i="7"/>
  <c r="E3" i="7"/>
  <c r="E2" i="7"/>
  <c r="C8" i="9"/>
  <c r="C7" i="9"/>
  <c r="C6" i="9"/>
  <c r="C3" i="9"/>
  <c r="C5" i="9"/>
  <c r="C2" i="9"/>
  <c r="C4" i="9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2" i="5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3" i="4"/>
  <c r="D4" i="4"/>
  <c r="D2" i="4"/>
  <c r="C3" i="8"/>
  <c r="C4" i="8"/>
  <c r="C5" i="8"/>
  <c r="C6" i="8"/>
  <c r="C2" i="8"/>
  <c r="D2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3" i="6"/>
  <c r="E2" i="6"/>
  <c r="D5" i="9"/>
  <c r="D4" i="9"/>
  <c r="D3" i="9"/>
  <c r="D2" i="9"/>
  <c r="D2" i="8"/>
  <c r="G2" i="7"/>
  <c r="E2" i="5"/>
  <c r="E2" i="4"/>
  <c r="D9" i="2"/>
  <c r="D8" i="2"/>
  <c r="D7" i="2"/>
  <c r="D6" i="2"/>
  <c r="D5" i="2"/>
  <c r="D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Sheet Description</author>
    <author>Excel Functions</author>
  </authors>
  <commentList>
    <comment ref="A1" authorId="0" shapeId="0" xr:uid="{00000000-0006-0000-0300-000001000000}">
      <text>
        <r>
          <rPr>
            <sz val="12"/>
            <color theme="1"/>
            <rFont val="Aptos Narrow"/>
            <family val="2"/>
            <scheme val="minor"/>
          </rPr>
          <t>Text Function: Combines Trip_ID and formatted Date. Shows how to join multiple text strings and format dates.</t>
        </r>
      </text>
    </comment>
    <comment ref="C2" authorId="1" shapeId="0" xr:uid="{00000000-0006-0000-0300-000002000000}">
      <text>
        <r>
          <rPr>
            <sz val="12"/>
            <color rgb="FF000000"/>
            <rFont val="Aptos Narrow"/>
            <family val="2"/>
          </rPr>
          <t>Formula: =CONCATENATE(A2," - ",TEXT(B2,"MM/DD/YYYY"))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Sheet Description</author>
  </authors>
  <commentList>
    <comment ref="A1" authorId="0" shapeId="0" xr:uid="{00000000-0006-0000-0400-000001000000}">
      <text>
        <r>
          <rPr>
            <sz val="12"/>
            <color theme="1"/>
            <rFont val="Aptos Narrow"/>
            <family val="2"/>
            <scheme val="minor"/>
          </rPr>
          <t>Conditional Function: Categorizes fuel efficiency into Low/Medium/High based on KMPL values using nested IF and CHOOSE.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Sheet Description</author>
  </authors>
  <commentList>
    <comment ref="A1" authorId="0" shapeId="0" xr:uid="{00000000-0006-0000-0500-000001000000}">
      <text>
        <r>
          <rPr>
            <sz val="12"/>
            <color theme="1"/>
            <rFont val="Aptos Narrow"/>
            <family val="2"/>
            <scheme val="minor"/>
          </rPr>
          <t>Lookup Function: Uses RANK to determine position of each delivery delay in the dataset (1=worst, 49=best).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Sheet Description</author>
  </authors>
  <commentList>
    <comment ref="A1" authorId="0" shapeId="0" xr:uid="{00000000-0006-0000-0600-000001000000}">
      <text>
        <r>
          <rPr>
            <sz val="12"/>
            <color theme="1"/>
            <rFont val="Aptos Narrow"/>
            <family val="2"/>
            <scheme val="minor"/>
          </rPr>
          <t>Array Function: Extracts specific rows from Original_Data by position number. Demonstrates positional data retrieval.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Sheet Description</author>
  </authors>
  <commentList>
    <comment ref="A1" authorId="0" shapeId="0" xr:uid="{00000000-0006-0000-0700-000001000000}">
      <text>
        <r>
          <rPr>
            <sz val="12"/>
            <color theme="1"/>
            <rFont val="Aptos Narrow"/>
            <family val="2"/>
            <scheme val="minor"/>
          </rPr>
          <t>Hybrid Lookup: Combines INDEX and MATCH to find fuel efficiency for any given Trip_ID. More flexible than VLOOKUP.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Sheet Description</author>
  </authors>
  <commentList>
    <comment ref="A1" authorId="0" shapeId="0" xr:uid="{00000000-0006-0000-0800-000001000000}">
      <text>
        <r>
          <rPr>
            <sz val="12"/>
            <color theme="1"/>
            <rFont val="Aptos Narrow"/>
            <family val="2"/>
            <scheme val="minor"/>
          </rPr>
          <t>Aggregate Functions: Demonstrates AVERAGE, MAX, MIN, COUNTA for calculating summary statistics across entire dataset.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95C1F5-2059-453E-9D8F-E6A75E03CD1A}" keepAlive="1" name="Query - text to column" description="Connection to the 'text to column' query in the workbook." type="5" refreshedVersion="8" background="1" saveData="1">
    <dbPr connection="Provider=Microsoft.Mashup.OleDb.1;Data Source=$Workbook$;Location=&quot;text to column&quot;;Extended Properties=&quot;&quot;" command="SELECT * FROM [text to column]"/>
  </connection>
  <connection id="2" xr16:uid="{E675EA55-B175-4917-BA3D-14DB8F5A42DE}" keepAlive="1" name="ThisWorkbookDataModel" description="Data Model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2AE8C52-6F68-4A55-BF28-47A75A4C259A}" name="WorksheetConnection_Original_Data!$A$1:$H$5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Original_DataA1H50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Trip_ID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<sst xmlns="http://schemas.openxmlformats.org/spreadsheetml/2006/main" count="595" uniqueCount="269">
  <si>
    <t>EXCEL ADVANCED FUNCTIONS - DEMONSTRATION FILE</t>
  </si>
  <si>
    <t>HPCL Trip Data Analysis Using Excel Functions from Class 8-9-10-11</t>
  </si>
  <si>
    <t>ABOUT THIS FILE:</t>
  </si>
  <si>
    <t>This Excel workbook demonstrates 6 advanced Excel functions using real HPCL logistics data.</t>
  </si>
  <si>
    <t>Each function is implemented in a separate sheet with:</t>
  </si>
  <si>
    <t xml:space="preserve">  • Actual function formulas displayed (column E)</t>
  </si>
  <si>
    <t xml:space="preserve">  • Detailed descriptions of how each function works</t>
  </si>
  <si>
    <t xml:space="preserve">  • Calculated results shown side-by-side with input data</t>
  </si>
  <si>
    <t xml:space="preserve">  • Cell comments for quick reference</t>
  </si>
  <si>
    <t>QUICK NAVIGATION:</t>
  </si>
  <si>
    <t>Sheet 1: README_FIRST - This file (you are here)</t>
  </si>
  <si>
    <t>Sheet 2: Functions_Guide - Quick reference of all functions</t>
  </si>
  <si>
    <t>Sheet 3: Original_Data - Source HPCL trip dataset (49 records)</t>
  </si>
  <si>
    <t>Sheet 4: CONCATENATE - Text joining function</t>
  </si>
  <si>
    <t>Sheet 5: CHOOSE_FuelCategory - Conditional selection</t>
  </si>
  <si>
    <t>Sheet 6: MATCH_Ranking - Position/ranking function</t>
  </si>
  <si>
    <t>Sheet 7: INDEX_Extract - Array extraction by position</t>
  </si>
  <si>
    <t>Sheet 8: INDEX_MATCH - Hybrid lookup function</t>
  </si>
  <si>
    <t>Sheet 9: Statistics - Summary statistics</t>
  </si>
  <si>
    <t>FUNCTION SUMMARY TABLE:</t>
  </si>
  <si>
    <t>Function Name</t>
  </si>
  <si>
    <t>Category</t>
  </si>
  <si>
    <t>Use Case</t>
  </si>
  <si>
    <t>Syntax</t>
  </si>
  <si>
    <t>CONCATENATE</t>
  </si>
  <si>
    <t>Text Function</t>
  </si>
  <si>
    <t>Join multiple text strings together</t>
  </si>
  <si>
    <t>CONCATENATE(text1, text2, ...)</t>
  </si>
  <si>
    <t>CHOOSE</t>
  </si>
  <si>
    <t>Lookup Function</t>
  </si>
  <si>
    <t>Select value from list based on index number</t>
  </si>
  <si>
    <t>CHOOSE(index_number, value1, value2, ...)</t>
  </si>
  <si>
    <t>RANK/MATCH</t>
  </si>
  <si>
    <t>Find position/rank of a value in a range</t>
  </si>
  <si>
    <t>RANK(value, range, order)</t>
  </si>
  <si>
    <t>INDEX</t>
  </si>
  <si>
    <t>Array Function</t>
  </si>
  <si>
    <t>Return value from specific position in array</t>
  </si>
  <si>
    <t>INDEX(array, row_number)</t>
  </si>
  <si>
    <t>INDEX-MATCH</t>
  </si>
  <si>
    <t>Hybrid Function</t>
  </si>
  <si>
    <t>Lookup value without using VLOOKUP</t>
  </si>
  <si>
    <t>INDEX(array, MATCH(lookup_value, lookup_array, 0))</t>
  </si>
  <si>
    <t>AVERAGE/MAX/MIN</t>
  </si>
  <si>
    <t>Statistical Function</t>
  </si>
  <si>
    <t>Calculate summary statistics</t>
  </si>
  <si>
    <t>AVERAGE(range) / MAX(range) / MIN(range)</t>
  </si>
  <si>
    <t>KEY FEATURES:</t>
  </si>
  <si>
    <t>✓ All formulas use cell references (not hardcoded values)</t>
  </si>
  <si>
    <t>✓ Formulas are locked with $ signs for proper copying</t>
  </si>
  <si>
    <t>✓ Cross-sheet references to Original_Data for data integrity</t>
  </si>
  <si>
    <t>✓ Color-coded display: Yellow background = formula section</t>
  </si>
  <si>
    <t>✓ Each sheet has comments explaining the operations</t>
  </si>
  <si>
    <t>✓ Real HPCL logistics data with 49 trip records</t>
  </si>
  <si>
    <t>✓ Ready for classroom demonstration and learning</t>
  </si>
  <si>
    <t>EXCEL FUNCTIONS DEMONSTRATION GUIDE</t>
  </si>
  <si>
    <t>Sheet Name</t>
  </si>
  <si>
    <t>Function Used</t>
  </si>
  <si>
    <t>Purpose</t>
  </si>
  <si>
    <t>Formula Example</t>
  </si>
  <si>
    <t>Joins separate text values into one</t>
  </si>
  <si>
    <t>CHOOSE_FuelCategory</t>
  </si>
  <si>
    <t>CHOOSE(index, val1, val2, ...)</t>
  </si>
  <si>
    <t>Selects value from list based on index</t>
  </si>
  <si>
    <t>MATCH_Ranking</t>
  </si>
  <si>
    <t>Returns rank of a value in a list</t>
  </si>
  <si>
    <t>INDEX_Extract</t>
  </si>
  <si>
    <t>Returns value from specific position in array</t>
  </si>
  <si>
    <t>INDEX_MATCH</t>
  </si>
  <si>
    <t>INDEX-MATCH combination</t>
  </si>
  <si>
    <t>Looks up value using INDEX and MATCH together</t>
  </si>
  <si>
    <t>Statistics</t>
  </si>
  <si>
    <t>AVERAGE, MAX, MIN, COUNTA</t>
  </si>
  <si>
    <t>Calculates summary statistics</t>
  </si>
  <si>
    <t>Trip_ID</t>
  </si>
  <si>
    <t>Date</t>
  </si>
  <si>
    <t>Vendor_Type</t>
  </si>
  <si>
    <t>Avg_Speed_Kmph</t>
  </si>
  <si>
    <t>IoT_Tire_Pressure_PSI</t>
  </si>
  <si>
    <t>Harsh_Braking_Count</t>
  </si>
  <si>
    <t>Fuel_Efficiency_KMPL</t>
  </si>
  <si>
    <t>Delivery_Delay_Mins</t>
  </si>
  <si>
    <t>TRP-00001</t>
  </si>
  <si>
    <t>19-02-2023 18:41</t>
  </si>
  <si>
    <t>3rd Party Logistics</t>
  </si>
  <si>
    <t>TRP-00002</t>
  </si>
  <si>
    <t>24-06-2023 12:23</t>
  </si>
  <si>
    <t>Company Owned</t>
  </si>
  <si>
    <t>TRP-00003</t>
  </si>
  <si>
    <t>20-03-2023 05:53</t>
  </si>
  <si>
    <t>TRP-00004</t>
  </si>
  <si>
    <t>25-06-2023 09:58</t>
  </si>
  <si>
    <t>TRP-00005</t>
  </si>
  <si>
    <t>15-12-2023 18:22</t>
  </si>
  <si>
    <t>TRP-00006</t>
  </si>
  <si>
    <t>18-03-2023 14:57</t>
  </si>
  <si>
    <t>TRP-00007</t>
  </si>
  <si>
    <t>19-01-2023 22:37</t>
  </si>
  <si>
    <t>TRP-00008</t>
  </si>
  <si>
    <t>25-06-2023 01:30</t>
  </si>
  <si>
    <t>TRP-00009</t>
  </si>
  <si>
    <t>27-10-2023 10:48</t>
  </si>
  <si>
    <t>TRP-00010</t>
  </si>
  <si>
    <t>TRP-00011</t>
  </si>
  <si>
    <t>23-07-2023 11:04</t>
  </si>
  <si>
    <t>TRP-00012</t>
  </si>
  <si>
    <t>28-04-2023 02:21</t>
  </si>
  <si>
    <t>TRP-00013</t>
  </si>
  <si>
    <t>27-07-2023 14:51</t>
  </si>
  <si>
    <t>TRP-00014</t>
  </si>
  <si>
    <t>TRP-00015</t>
  </si>
  <si>
    <t>TRP-00016</t>
  </si>
  <si>
    <t>22-07-2023 21:38</t>
  </si>
  <si>
    <t>TRP-00017</t>
  </si>
  <si>
    <t>24-10-2023 04:03</t>
  </si>
  <si>
    <t>TRP-00018</t>
  </si>
  <si>
    <t>TRP-00019</t>
  </si>
  <si>
    <t>15-04-2023 12:42</t>
  </si>
  <si>
    <t>TRP-00020</t>
  </si>
  <si>
    <t>30-03-2023 02:17</t>
  </si>
  <si>
    <t>TRP-00021</t>
  </si>
  <si>
    <t>16-04-2023 23:28</t>
  </si>
  <si>
    <t>TRP-00022</t>
  </si>
  <si>
    <t>26-08-2023 01:25</t>
  </si>
  <si>
    <t>TRP-00023</t>
  </si>
  <si>
    <t>TRP-00024</t>
  </si>
  <si>
    <t>16-06-2023 08:51</t>
  </si>
  <si>
    <t>TRP-00025</t>
  </si>
  <si>
    <t>TRP-00026</t>
  </si>
  <si>
    <t>TRP-00027</t>
  </si>
  <si>
    <t>13-09-2023 20:13</t>
  </si>
  <si>
    <t>TRP-00028</t>
  </si>
  <si>
    <t>26-03-2023 04:00</t>
  </si>
  <si>
    <t>TRP-00029</t>
  </si>
  <si>
    <t>23-06-2023 20:25</t>
  </si>
  <si>
    <t>TRP-00030</t>
  </si>
  <si>
    <t>21-01-2023 09:01</t>
  </si>
  <si>
    <t>TRP-00031</t>
  </si>
  <si>
    <t>TRP-00032</t>
  </si>
  <si>
    <t>TRP-00033</t>
  </si>
  <si>
    <t>TRP-00034</t>
  </si>
  <si>
    <t>TRP-00035</t>
  </si>
  <si>
    <t>23-02-2023 08:35</t>
  </si>
  <si>
    <t>TRP-00036</t>
  </si>
  <si>
    <t>27-10-2023 13:12</t>
  </si>
  <si>
    <t>TRP-00037</t>
  </si>
  <si>
    <t>17-02-2023 21:48</t>
  </si>
  <si>
    <t>TRP-00038</t>
  </si>
  <si>
    <t>TRP-00039</t>
  </si>
  <si>
    <t>TRP-00040</t>
  </si>
  <si>
    <t>TRP-00041</t>
  </si>
  <si>
    <t>15-03-2023 23:07</t>
  </si>
  <si>
    <t>TRP-00042</t>
  </si>
  <si>
    <t>21-01-2023 15:33</t>
  </si>
  <si>
    <t>TRP-00043</t>
  </si>
  <si>
    <t>22-06-2023 11:02</t>
  </si>
  <si>
    <t>TRP-00044</t>
  </si>
  <si>
    <t>22-09-2023 11:05</t>
  </si>
  <si>
    <t>TRP-00045</t>
  </si>
  <si>
    <t>26-02-2023 20:51</t>
  </si>
  <si>
    <t>TRP-00046</t>
  </si>
  <si>
    <t>15-04-2023 08:51</t>
  </si>
  <si>
    <t>TRP-00047</t>
  </si>
  <si>
    <t>TRP-00048</t>
  </si>
  <si>
    <t>TRP-00049</t>
  </si>
  <si>
    <t>25-09-2023 17:08</t>
  </si>
  <si>
    <t>Combined_Result</t>
  </si>
  <si>
    <t>FORMULA USED:</t>
  </si>
  <si>
    <t>TRP-00001 - 02/19/2023</t>
  </si>
  <si>
    <t>TRP-00002 - 06/24/2023</t>
  </si>
  <si>
    <t>DESCRIPTION:</t>
  </si>
  <si>
    <t>TRP-00003 - 03/20/2023</t>
  </si>
  <si>
    <t>This formula combines Trip_ID from column A with a formatted date from column B. The CONCATENATE function joins text strings, and TEXT function formats the date as MM/DD/YYYY.</t>
  </si>
  <si>
    <t>TRP-00004 - 06/25/2023</t>
  </si>
  <si>
    <t>TRP-00005 - 12/15/2023</t>
  </si>
  <si>
    <t>TRP-00006 - 03/18/2023</t>
  </si>
  <si>
    <t>TRP-00007 - 01/19/2023</t>
  </si>
  <si>
    <t>TRP-00008 - 06/25/2023</t>
  </si>
  <si>
    <t>TRP-00009 - 10/27/2023</t>
  </si>
  <si>
    <t>TRP-00010 - 08/07/2023</t>
  </si>
  <si>
    <t>TRP-00011 - 07/23/2023</t>
  </si>
  <si>
    <t>TRP-00012 - 04/28/2023</t>
  </si>
  <si>
    <t>TRP-00013 - 07/27/2023</t>
  </si>
  <si>
    <t>TRP-00014 - 07/10/2023</t>
  </si>
  <si>
    <t>TRP-00015 - 12/01/2023</t>
  </si>
  <si>
    <t>TRP-00016 - 07/22/2023</t>
  </si>
  <si>
    <t>TRP-00017 - 10/24/2023</t>
  </si>
  <si>
    <t>TRP-00018 - 12/07/2023</t>
  </si>
  <si>
    <t>TRP-00019 - 04/15/2023</t>
  </si>
  <si>
    <t>TRP-00020 - 03/30/2023</t>
  </si>
  <si>
    <t>TRP-00021 - 04/16/2023</t>
  </si>
  <si>
    <t>TRP-00022 - 08/26/2023</t>
  </si>
  <si>
    <t>TRP-00023 - 08/06/2023</t>
  </si>
  <si>
    <t>TRP-00024 - 06/16/2023</t>
  </si>
  <si>
    <t>TRP-00025 - 03/03/2023</t>
  </si>
  <si>
    <t>TRP-00026 - 02/11/2023</t>
  </si>
  <si>
    <t>TRP-00027 - 09/13/2023</t>
  </si>
  <si>
    <t>TRP-00028 - 03/26/2023</t>
  </si>
  <si>
    <t>TRP-00029 - 06/23/2023</t>
  </si>
  <si>
    <t>TRP-00030 - 01/21/2023</t>
  </si>
  <si>
    <t>TRP-00031 - 11/12/2023</t>
  </si>
  <si>
    <t>TRP-00032 - 10/02/2023</t>
  </si>
  <si>
    <t>TRP-00033 - 08/04/2023</t>
  </si>
  <si>
    <t>TRP-00034 - 07/10/2023</t>
  </si>
  <si>
    <t>TRP-00035 - 02/23/2023</t>
  </si>
  <si>
    <t>TRP-00036 - 10/27/2023</t>
  </si>
  <si>
    <t>TRP-00037 - 02/17/2023</t>
  </si>
  <si>
    <t>TRP-00038 - 05/07/2023</t>
  </si>
  <si>
    <t>TRP-00039 - 03/03/2023</t>
  </si>
  <si>
    <t>TRP-00040 - 08/06/2023</t>
  </si>
  <si>
    <t>TRP-00041 - 03/15/2023</t>
  </si>
  <si>
    <t>TRP-00042 - 01/21/2023</t>
  </si>
  <si>
    <t>TRP-00043 - 06/22/2023</t>
  </si>
  <si>
    <t>TRP-00044 - 09/22/2023</t>
  </si>
  <si>
    <t>TRP-00045 - 02/26/2023</t>
  </si>
  <si>
    <t>TRP-00046 - 04/15/2023</t>
  </si>
  <si>
    <t>TRP-00047 - 07/04/2023</t>
  </si>
  <si>
    <t>TRP-00048 - 05/05/2023</t>
  </si>
  <si>
    <t>TRP-00049 - 09/25/2023</t>
  </si>
  <si>
    <t>Fuel_Category</t>
  </si>
  <si>
    <t>Low</t>
  </si>
  <si>
    <t>High</t>
  </si>
  <si>
    <t>Medium</t>
  </si>
  <si>
    <t>CHOOSE function selects from a list based on index. Combined with IF statements: Low (≤3), Medium (3-3.5), High (&gt;3.5) KMPL. Index 1=Low, 2=Medium, 3=High.</t>
  </si>
  <si>
    <t>Delay_Rank</t>
  </si>
  <si>
    <t>RANK function returns position of a value within a sorted range. 0=descending (highest value gets rank 1). $ signs lock the range. Shows which trips had worst (rank 1) to best delivery delays.</t>
  </si>
  <si>
    <t>Row_Num</t>
  </si>
  <si>
    <t>Tire_Pressure_PSI</t>
  </si>
  <si>
    <t>INDEX function returns value from specific position in an array. First parameter = data range, second = row position. Used to extract data by row number from Original_Data sheet.</t>
  </si>
  <si>
    <t>Lookup_Trip_ID</t>
  </si>
  <si>
    <t>Found_Fuel_Efficiency</t>
  </si>
  <si>
    <t>INDEX-MATCH combination: MATCH finds position of Trip_ID in Original_Data, then INDEX returns corresponding Fuel_Efficiency. More flexible than VLOOKUP. 0 = exact match required.</t>
  </si>
  <si>
    <t>Metric</t>
  </si>
  <si>
    <t>Calculated_Value</t>
  </si>
  <si>
    <t>FORMULAS USED:</t>
  </si>
  <si>
    <t>Avg Fuel Efficiency (KMPL)</t>
  </si>
  <si>
    <t>Max Fuel Efficiency</t>
  </si>
  <si>
    <t>Min Fuel Efficiency</t>
  </si>
  <si>
    <t>Avg Delivery Delay (mins)</t>
  </si>
  <si>
    <t>Max Delivery Delay</t>
  </si>
  <si>
    <t>Min Delivery Delay</t>
  </si>
  <si>
    <t>Statistical functions: AVERAGE (mean), MAX (highest), MIN (lowest), COUNTA (count non-empty cells). Used to calculate summary metrics across entire dataset.</t>
  </si>
  <si>
    <t>Total Records</t>
  </si>
  <si>
    <t>rank</t>
  </si>
  <si>
    <t>Fuel_Efficiency</t>
  </si>
  <si>
    <t>Concatenate</t>
  </si>
  <si>
    <t>Value</t>
  </si>
  <si>
    <t>Index tire pressure</t>
  </si>
  <si>
    <t>Row Labels</t>
  </si>
  <si>
    <t>Grand Total</t>
  </si>
  <si>
    <t>Sum of Fuel_Efficiency_KMPL</t>
  </si>
  <si>
    <t>Column Labels</t>
  </si>
  <si>
    <t>All</t>
  </si>
  <si>
    <t>Sum of IoT_Tire_Pressure_PSI</t>
  </si>
  <si>
    <t>ID</t>
  </si>
  <si>
    <t>Name</t>
  </si>
  <si>
    <t>Age</t>
  </si>
  <si>
    <t xml:space="preserve">Gender	</t>
  </si>
  <si>
    <t>Custom column</t>
  </si>
  <si>
    <t>Joe</t>
  </si>
  <si>
    <t>M</t>
  </si>
  <si>
    <t>Not Targeted</t>
  </si>
  <si>
    <t>Beth</t>
  </si>
  <si>
    <t>F</t>
  </si>
  <si>
    <t>Young</t>
  </si>
  <si>
    <t>Nancy</t>
  </si>
  <si>
    <t>Dave</t>
  </si>
  <si>
    <t>Nathan</t>
  </si>
  <si>
    <t>Betty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</si>
</sst>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4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rgb="FFFFFFFF"/>
      <name val="Aptos Narrow"/>
    </font>
    <font>
      <b/>
      <sz val="14"/>
      <color rgb="FFFFFFFF"/>
      <name val="Aptos Narrow"/>
    </font>
    <font>
      <b/>
      <sz val="11"/>
      <name val="Aptos Narrow"/>
    </font>
    <font>
      <b/>
      <sz val="9"/>
      <color rgb="FFC00000"/>
      <name val="Courier New"/>
      <family val="1"/>
    </font>
    <font>
      <b/>
      <sz val="10"/>
      <name val="Aptos Narrow"/>
    </font>
    <font>
      <b/>
      <sz val="16"/>
      <color rgb="FFFFFFFF"/>
      <name val="Aptos Narrow"/>
    </font>
    <font>
      <i/>
      <sz val="11"/>
      <name val="Aptos Narrow"/>
    </font>
    <font>
      <b/>
      <sz val="12"/>
      <color rgb="FFFFFFFF"/>
      <name val="Aptos Narrow"/>
    </font>
    <font>
      <b/>
      <sz val="11"/>
      <color rgb="FFFFFFFF"/>
      <name val="Aptos Narrow"/>
    </font>
    <font>
      <sz val="12"/>
      <color rgb="FF000000"/>
      <name val="Aptos Narrow"/>
      <family val="2"/>
    </font>
    <font>
      <sz val="14"/>
      <color rgb="FF14181F"/>
      <name val="Menlo"/>
      <family val="2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203864"/>
        <bgColor rgb="FF203864"/>
      </patternFill>
    </fill>
    <fill>
      <patternFill patternType="solid">
        <fgColor rgb="FF70AD47"/>
        <b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22" fontId="1" fillId="0" borderId="0" xfId="0" applyNumberFormat="1" applyFont="1"/>
    <xf numFmtId="0" fontId="3" fillId="2" borderId="0" xfId="0" applyFont="1" applyFill="1"/>
    <xf numFmtId="164" fontId="0" fillId="0" borderId="0" xfId="0" applyNumberFormat="1"/>
    <xf numFmtId="0" fontId="3" fillId="4" borderId="0" xfId="0" applyFont="1" applyFill="1"/>
    <xf numFmtId="0" fontId="0" fillId="0" borderId="0" xfId="0" applyAlignment="1">
      <alignment vertical="top" wrapText="1"/>
    </xf>
    <xf numFmtId="0" fontId="5" fillId="5" borderId="0" xfId="0" applyFont="1" applyFill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11" fillId="7" borderId="0" xfId="0" applyFont="1" applyFill="1"/>
    <xf numFmtId="0" fontId="13" fillId="0" borderId="0" xfId="0" applyFont="1"/>
    <xf numFmtId="0" fontId="8" fillId="6" borderId="0" xfId="0" applyFont="1" applyFill="1"/>
    <xf numFmtId="0" fontId="0" fillId="0" borderId="0" xfId="0"/>
    <xf numFmtId="0" fontId="0" fillId="0" borderId="0" xfId="0" applyAlignment="1">
      <alignment wrapText="1"/>
    </xf>
    <xf numFmtId="0" fontId="9" fillId="0" borderId="0" xfId="0" applyFont="1"/>
    <xf numFmtId="0" fontId="5" fillId="0" borderId="0" xfId="0" applyFont="1" applyAlignment="1">
      <alignment wrapText="1"/>
    </xf>
    <xf numFmtId="0" fontId="10" fillId="4" borderId="0" xfId="0" applyFont="1" applyFill="1"/>
    <xf numFmtId="0" fontId="4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[hpcl-data_Advanced_Function.xlsx]Pivot_and Charts!PivotTable2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'Pivot_and Charts'!$B$3</c:f>
              <c:strCache>
                <c:ptCount val="1"/>
                <c:pt idx="0">
                  <c:v>Sum of Fuel_Efficiency_KMPL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'Pivot_and Charts'!$A$4:$A$6</c:f>
              <c:strCache>
                <c:ptCount val="2"/>
                <c:pt idx="0">
                  <c:v>3rd Party Logistics</c:v>
                </c:pt>
                <c:pt idx="1">
                  <c:v>Company Owned</c:v>
                </c:pt>
              </c:strCache>
            </c:strRef>
          </c:cat>
          <c:val>
            <c:numRef>
              <c:f>'Pivot_and Charts'!$B$4:$B$6</c:f>
              <c:numCache>
                <c:formatCode>General</c:formatCode>
                <c:ptCount val="2"/>
                <c:pt idx="0">
                  <c:v>82.630000000000024</c:v>
                </c:pt>
                <c:pt idx="1">
                  <c:v>85.449999999999989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8-42AC-B3E1-5DF6F582A705}"/>
            </c:ext>
          </c:extLst>
        </c:ser>
        <c:ser>
          <c:idx val="1"/>
          <c:order val="1"/>
          <c:tx>
            <c:strRef>
              <c:f>'Pivot_and Charts'!$C$3</c:f>
              <c:strCache>
                <c:ptCount val="1"/>
                <c:pt idx="0">
                  <c:v>Sum of IoT_Tire_Pressure_PSI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'Pivot_and Charts'!$A$4:$A$6</c:f>
              <c:strCache>
                <c:ptCount val="2"/>
                <c:pt idx="0">
                  <c:v>3rd Party Logistics</c:v>
                </c:pt>
                <c:pt idx="1">
                  <c:v>Company Owned</c:v>
                </c:pt>
              </c:strCache>
            </c:strRef>
          </c:cat>
          <c:val>
            <c:numRef>
              <c:f>'Pivot_and Charts'!$C$4:$C$6</c:f>
              <c:numCache>
                <c:formatCode>General</c:formatCode>
                <c:ptCount val="2"/>
                <c:pt idx="0">
                  <c:v>2493</c:v>
                </c:pt>
                <c:pt idx="1">
                  <c:v>2594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48-42AC-B3E1-5DF6F582A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6221392"/>
        <c:axId val="686222832"/>
      </c:barChart>
      <c:catAx>
        <c:axId val="68622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222832"/>
        <c:crosses val="autoZero"/>
        <c:auto val="1"/>
        <c:lblAlgn val="ctr"/>
        <c:lblOffset val="100"/>
        <c:noMultiLvlLbl val="0"/>
      </c:catAx>
      <c:valAx>
        <c:axId val="68622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22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1337310</xdr:colOff>
      <xdr:row>8</xdr:row>
      <xdr:rowOff>118110</xdr:rowOff>
    </xdr:from>
    <xdr:to>
      <xdr:col>8</xdr:col>
      <xdr:colOff>613410</xdr:colOff>
      <xdr:row>22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8DF4D-DE65-B20D-6AE4-B6B396528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. Goutam Das" refreshedDate="46078.815823495373" createdVersion="8" refreshedVersion="8" minRefreshableVersion="3" recordCount="49" xr:uid="{29C637B0-942C-4EC2-B7EB-887B7E75F318}">
  <cacheSource type="worksheet">
    <worksheetSource ref="A1:H50" sheet="Original_Data"/>
  </cacheSource>
  <cacheFields count="8">
    <cacheField name="Trip_ID" numFmtId="0">
      <sharedItems/>
    </cacheField>
    <cacheField name="Date" numFmtId="0">
      <sharedItems containsDate="1" containsMixedTypes="1" minDate="2023-02-11T05:33:00" maxDate="2023-12-07T19:25:00"/>
    </cacheField>
    <cacheField name="Vendor_Type" numFmtId="0">
      <sharedItems count="2">
        <s v="3rd Party Logistics"/>
        <s v="Company Owned"/>
      </sharedItems>
    </cacheField>
    <cacheField name="Avg_Speed_Kmph" numFmtId="0">
      <sharedItems containsSemiMixedTypes="0" containsString="0" containsNumber="1" minValue="27.3" maxValue="76.400000000000006"/>
    </cacheField>
    <cacheField name="IoT_Tire_Pressure_PSI" numFmtId="0">
      <sharedItems containsSemiMixedTypes="0" containsString="0" containsNumber="1" containsInteger="1" minValue="90" maxValue="119"/>
    </cacheField>
    <cacheField name="Harsh_Braking_Count" numFmtId="0">
      <sharedItems containsSemiMixedTypes="0" containsString="0" containsNumber="1" containsInteger="1" minValue="0" maxValue="7"/>
    </cacheField>
    <cacheField name="Fuel_Efficiency_KMPL" numFmtId="0">
      <sharedItems containsSemiMixedTypes="0" containsString="0" containsNumber="1" minValue="2.57" maxValue="4.37"/>
    </cacheField>
    <cacheField name="Delivery_Delay_Mins" numFmtId="0">
      <sharedItems containsSemiMixedTypes="0" containsString="0" containsNumber="1" containsInteger="1" minValue="-8" maxValue="1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r. Goutam Das" refreshedDate="46078.813648379626" createdVersion="8" refreshedVersion="8" minRefreshableVersion="3" recordCount="0" supportSubquery="1" supportAdvancedDrill="1" xr:uid="{21F6B2D9-1EFC-453B-8FDC-577FBB74B2FB}">
  <cacheSource type="external" connectionId="2"/>
  <cacheFields count="3">
    <cacheField name="[Range].[Trip_ID].[Trip_ID]" caption="Trip_ID" numFmtId="0" level="1">
      <sharedItems containsSemiMixedTypes="0" containsNonDate="0" containsString="0"/>
    </cacheField>
    <cacheField name="[Range].[Vendor_Type].[Vendor_Type]" caption="Vendor_Type" numFmtId="0" hierarchy="2" level="1">
      <sharedItems count="2">
        <s v="3rd Party Logistics"/>
        <s v="Company Owned"/>
      </sharedItems>
    </cacheField>
    <cacheField name="[Measures].[Sum of Fuel_Efficiency_KMPL]" caption="Sum of Fuel_Efficiency_KMPL" numFmtId="0" hierarchy="10" level="32767"/>
  </cacheFields>
  <cacheHierarchies count="12">
    <cacheHierarchy uniqueName="[Range].[Trip_ID]" caption="Trip_ID" attribute="1" defaultMemberUniqueName="[Range].[Trip_ID].[All]" allUniqueName="[Range].[Trip_I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Vendor_Type]" caption="Vendor_Type" attribute="1" defaultMemberUniqueName="[Range].[Vendor_Type].[All]" allUniqueName="[Range].[Vendor_Typ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Avg_Speed_Kmph]" caption="Avg_Speed_Kmph" attribute="1" defaultMemberUniqueName="[Range].[Avg_Speed_Kmph].[All]" allUniqueName="[Range].[Avg_Speed_Kmph].[All]" dimensionUniqueName="[Range]" displayFolder="" count="0" memberValueDatatype="5" unbalanced="0"/>
    <cacheHierarchy uniqueName="[Range].[IoT_Tire_Pressure_PSI]" caption="IoT_Tire_Pressure_PSI" attribute="1" defaultMemberUniqueName="[Range].[IoT_Tire_Pressure_PSI].[All]" allUniqueName="[Range].[IoT_Tire_Pressure_PSI].[All]" dimensionUniqueName="[Range]" displayFolder="" count="0" memberValueDatatype="20" unbalanced="0"/>
    <cacheHierarchy uniqueName="[Range].[Harsh_Braking_Count]" caption="Harsh_Braking_Count" attribute="1" defaultMemberUniqueName="[Range].[Harsh_Braking_Count].[All]" allUniqueName="[Range].[Harsh_Braking_Count].[All]" dimensionUniqueName="[Range]" displayFolder="" count="0" memberValueDatatype="20" unbalanced="0"/>
    <cacheHierarchy uniqueName="[Range].[Fuel_Efficiency_KMPL]" caption="Fuel_Efficiency_KMPL" attribute="1" defaultMemberUniqueName="[Range].[Fuel_Efficiency_KMPL].[All]" allUniqueName="[Range].[Fuel_Efficiency_KMPL].[All]" dimensionUniqueName="[Range]" displayFolder="" count="0" memberValueDatatype="5" unbalanced="0"/>
    <cacheHierarchy uniqueName="[Range].[Delivery_Delay_Mins]" caption="Delivery_Delay_Mins" attribute="1" defaultMemberUniqueName="[Range].[Delivery_Delay_Mins].[All]" allUniqueName="[Range].[Delivery_Delay_Mins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Fuel_Efficiency_KMPL]" caption="Sum of Fuel_Efficiency_KMPL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g_Speed_Kmph]" caption="Sum of Avg_Speed_Kmp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TRP-00001"/>
    <s v="19-02-2023 18:41"/>
    <x v="0"/>
    <n v="63.7"/>
    <n v="106"/>
    <n v="2"/>
    <n v="2.67"/>
    <n v="30"/>
  </r>
  <r>
    <s v="TRP-00002"/>
    <s v="24-06-2023 12:23"/>
    <x v="1"/>
    <n v="66.2"/>
    <n v="100"/>
    <n v="6"/>
    <n v="3.84"/>
    <n v="57"/>
  </r>
  <r>
    <s v="TRP-00003"/>
    <s v="20-03-2023 05:53"/>
    <x v="0"/>
    <n v="57"/>
    <n v="91"/>
    <n v="6"/>
    <n v="3.32"/>
    <n v="82"/>
  </r>
  <r>
    <s v="TRP-00004"/>
    <s v="25-06-2023 09:58"/>
    <x v="1"/>
    <n v="56.7"/>
    <n v="95"/>
    <n v="6"/>
    <n v="3.44"/>
    <n v="41"/>
  </r>
  <r>
    <s v="TRP-00005"/>
    <s v="15-12-2023 18:22"/>
    <x v="1"/>
    <n v="62"/>
    <n v="111"/>
    <n v="5"/>
    <n v="2.6"/>
    <n v="71"/>
  </r>
  <r>
    <s v="TRP-00006"/>
    <s v="18-03-2023 14:57"/>
    <x v="0"/>
    <n v="66.2"/>
    <n v="103"/>
    <n v="7"/>
    <n v="2.88"/>
    <n v="117"/>
  </r>
  <r>
    <s v="TRP-00007"/>
    <s v="19-01-2023 22:37"/>
    <x v="1"/>
    <n v="55.4"/>
    <n v="92"/>
    <n v="2"/>
    <n v="4.08"/>
    <n v="39"/>
  </r>
  <r>
    <s v="TRP-00008"/>
    <s v="25-06-2023 01:30"/>
    <x v="0"/>
    <n v="50"/>
    <n v="101"/>
    <n v="5"/>
    <n v="3.41"/>
    <n v="45"/>
  </r>
  <r>
    <s v="TRP-00009"/>
    <s v="27-10-2023 10:48"/>
    <x v="0"/>
    <n v="61.5"/>
    <n v="93"/>
    <n v="4"/>
    <n v="3.1"/>
    <n v="73"/>
  </r>
  <r>
    <s v="TRP-00010"/>
    <d v="2023-08-07T20:16:00"/>
    <x v="1"/>
    <n v="36.4"/>
    <n v="101"/>
    <n v="6"/>
    <n v="3.27"/>
    <n v="-8"/>
  </r>
  <r>
    <s v="TRP-00011"/>
    <s v="23-07-2023 11:04"/>
    <x v="1"/>
    <n v="64.099999999999994"/>
    <n v="102"/>
    <n v="4"/>
    <n v="4.21"/>
    <n v="0"/>
  </r>
  <r>
    <s v="TRP-00012"/>
    <s v="28-04-2023 02:21"/>
    <x v="0"/>
    <n v="47.9"/>
    <n v="91"/>
    <n v="6"/>
    <n v="4"/>
    <n v="100"/>
  </r>
  <r>
    <s v="TRP-00013"/>
    <s v="27-07-2023 14:51"/>
    <x v="1"/>
    <n v="52.6"/>
    <n v="91"/>
    <n v="1"/>
    <n v="3.04"/>
    <n v="45"/>
  </r>
  <r>
    <s v="TRP-00014"/>
    <d v="2023-07-10T11:35:00"/>
    <x v="0"/>
    <n v="64.2"/>
    <n v="104"/>
    <n v="5"/>
    <n v="2.74"/>
    <n v="-1"/>
  </r>
  <r>
    <s v="TRP-00015"/>
    <d v="2023-12-01T23:44:00"/>
    <x v="0"/>
    <n v="50.8"/>
    <n v="112"/>
    <n v="5"/>
    <n v="3"/>
    <n v="115"/>
  </r>
  <r>
    <s v="TRP-00016"/>
    <s v="22-07-2023 21:38"/>
    <x v="0"/>
    <n v="61.5"/>
    <n v="118"/>
    <n v="7"/>
    <n v="4.34"/>
    <n v="86"/>
  </r>
  <r>
    <s v="TRP-00017"/>
    <s v="24-10-2023 04:03"/>
    <x v="1"/>
    <n v="66.400000000000006"/>
    <n v="106"/>
    <n v="0"/>
    <n v="3.66"/>
    <n v="38"/>
  </r>
  <r>
    <s v="TRP-00018"/>
    <d v="2023-12-07T19:25:00"/>
    <x v="1"/>
    <n v="56.1"/>
    <n v="96"/>
    <n v="3"/>
    <n v="3.57"/>
    <n v="-2"/>
  </r>
  <r>
    <s v="TRP-00019"/>
    <s v="15-04-2023 12:42"/>
    <x v="1"/>
    <n v="58.1"/>
    <n v="119"/>
    <n v="2"/>
    <n v="3.69"/>
    <n v="20"/>
  </r>
  <r>
    <s v="TRP-00020"/>
    <s v="30-03-2023 02:17"/>
    <x v="1"/>
    <n v="53.8"/>
    <n v="117"/>
    <n v="0"/>
    <n v="3.23"/>
    <n v="89"/>
  </r>
  <r>
    <s v="TRP-00021"/>
    <s v="16-04-2023 23:28"/>
    <x v="0"/>
    <n v="56.2"/>
    <n v="103"/>
    <n v="5"/>
    <n v="4.1100000000000003"/>
    <n v="66"/>
  </r>
  <r>
    <s v="TRP-00022"/>
    <s v="26-08-2023 01:25"/>
    <x v="0"/>
    <n v="43.8"/>
    <n v="101"/>
    <n v="0"/>
    <n v="3.55"/>
    <n v="51"/>
  </r>
  <r>
    <s v="TRP-00023"/>
    <d v="2023-08-06T19:53:00"/>
    <x v="1"/>
    <n v="52.1"/>
    <n v="119"/>
    <n v="1"/>
    <n v="2.73"/>
    <n v="-6"/>
  </r>
  <r>
    <s v="TRP-00024"/>
    <s v="16-06-2023 08:51"/>
    <x v="1"/>
    <n v="42.1"/>
    <n v="106"/>
    <n v="3"/>
    <n v="2.76"/>
    <n v="33"/>
  </r>
  <r>
    <s v="TRP-00025"/>
    <d v="2023-03-03T01:57:00"/>
    <x v="1"/>
    <n v="46"/>
    <n v="103"/>
    <n v="7"/>
    <n v="3.57"/>
    <n v="95"/>
  </r>
  <r>
    <s v="TRP-00026"/>
    <d v="2023-02-11T05:33:00"/>
    <x v="0"/>
    <n v="35"/>
    <n v="95"/>
    <n v="5"/>
    <n v="4.37"/>
    <n v="49"/>
  </r>
  <r>
    <s v="TRP-00027"/>
    <s v="13-09-2023 20:13"/>
    <x v="1"/>
    <n v="57.6"/>
    <n v="108"/>
    <n v="5"/>
    <n v="3.12"/>
    <n v="41"/>
  </r>
  <r>
    <s v="TRP-00028"/>
    <s v="26-03-2023 04:00"/>
    <x v="0"/>
    <n v="71.900000000000006"/>
    <n v="113"/>
    <n v="2"/>
    <n v="4.24"/>
    <n v="11"/>
  </r>
  <r>
    <s v="TRP-00029"/>
    <s v="23-06-2023 20:25"/>
    <x v="1"/>
    <n v="50.4"/>
    <n v="95"/>
    <n v="7"/>
    <n v="4.03"/>
    <n v="97"/>
  </r>
  <r>
    <s v="TRP-00030"/>
    <s v="21-01-2023 09:01"/>
    <x v="0"/>
    <n v="64.7"/>
    <n v="116"/>
    <n v="7"/>
    <n v="3"/>
    <n v="117"/>
  </r>
  <r>
    <s v="TRP-00031"/>
    <d v="2023-11-12T07:51:00"/>
    <x v="0"/>
    <n v="66.3"/>
    <n v="107"/>
    <n v="6"/>
    <n v="2.57"/>
    <n v="55"/>
  </r>
  <r>
    <s v="TRP-00032"/>
    <d v="2023-10-02T23:50:00"/>
    <x v="1"/>
    <n v="43"/>
    <n v="113"/>
    <n v="3"/>
    <n v="2.7"/>
    <n v="67"/>
  </r>
  <r>
    <s v="TRP-00033"/>
    <d v="2023-08-04T14:56:00"/>
    <x v="1"/>
    <n v="45.2"/>
    <n v="94"/>
    <n v="1"/>
    <n v="3.96"/>
    <n v="41"/>
  </r>
  <r>
    <s v="TRP-00034"/>
    <d v="2023-07-10T17:04:00"/>
    <x v="0"/>
    <n v="64.900000000000006"/>
    <n v="113"/>
    <n v="4"/>
    <n v="2.9"/>
    <n v="104"/>
  </r>
  <r>
    <s v="TRP-00035"/>
    <s v="23-02-2023 08:35"/>
    <x v="1"/>
    <n v="54.1"/>
    <n v="113"/>
    <n v="0"/>
    <n v="3.24"/>
    <n v="77"/>
  </r>
  <r>
    <s v="TRP-00036"/>
    <s v="27-10-2023 13:12"/>
    <x v="0"/>
    <n v="42.1"/>
    <n v="95"/>
    <n v="7"/>
    <n v="3.5"/>
    <n v="-1"/>
  </r>
  <r>
    <s v="TRP-00037"/>
    <s v="17-02-2023 21:48"/>
    <x v="0"/>
    <n v="48.6"/>
    <n v="91"/>
    <n v="2"/>
    <n v="3.95"/>
    <n v="95"/>
  </r>
  <r>
    <s v="TRP-00038"/>
    <d v="2023-05-07T00:42:00"/>
    <x v="0"/>
    <n v="59.2"/>
    <n v="97"/>
    <n v="5"/>
    <n v="2.73"/>
    <n v="85"/>
  </r>
  <r>
    <s v="TRP-00039"/>
    <d v="2023-03-03T22:37:00"/>
    <x v="0"/>
    <n v="47.1"/>
    <n v="104"/>
    <n v="4"/>
    <n v="3.31"/>
    <n v="103"/>
  </r>
  <r>
    <s v="TRP-00040"/>
    <d v="2023-08-06T13:02:00"/>
    <x v="1"/>
    <n v="27.3"/>
    <n v="104"/>
    <n v="1"/>
    <n v="3.47"/>
    <n v="60"/>
  </r>
  <r>
    <s v="TRP-00041"/>
    <s v="15-03-2023 23:07"/>
    <x v="1"/>
    <n v="51.8"/>
    <n v="100"/>
    <n v="3"/>
    <n v="3.58"/>
    <n v="4"/>
  </r>
  <r>
    <s v="TRP-00042"/>
    <s v="21-01-2023 15:33"/>
    <x v="0"/>
    <n v="52.6"/>
    <n v="111"/>
    <n v="7"/>
    <n v="4.1399999999999997"/>
    <n v="115"/>
  </r>
  <r>
    <s v="TRP-00043"/>
    <s v="22-06-2023 11:02"/>
    <x v="1"/>
    <n v="55.1"/>
    <n v="111"/>
    <n v="0"/>
    <n v="2.84"/>
    <n v="57"/>
  </r>
  <r>
    <s v="TRP-00044"/>
    <s v="22-09-2023 11:05"/>
    <x v="0"/>
    <n v="67.599999999999994"/>
    <n v="113"/>
    <n v="7"/>
    <n v="4.12"/>
    <n v="106"/>
  </r>
  <r>
    <s v="TRP-00045"/>
    <s v="26-02-2023 20:51"/>
    <x v="1"/>
    <n v="55.5"/>
    <n v="90"/>
    <n v="2"/>
    <n v="3.89"/>
    <n v="25"/>
  </r>
  <r>
    <s v="TRP-00046"/>
    <s v="15-04-2023 08:51"/>
    <x v="1"/>
    <n v="57.4"/>
    <n v="107"/>
    <n v="7"/>
    <n v="3.61"/>
    <n v="114"/>
  </r>
  <r>
    <s v="TRP-00047"/>
    <d v="2023-07-04T02:25:00"/>
    <x v="0"/>
    <n v="65.599999999999994"/>
    <n v="101"/>
    <n v="7"/>
    <n v="3.9"/>
    <n v="7"/>
  </r>
  <r>
    <s v="TRP-00048"/>
    <d v="2023-05-05T11:41:00"/>
    <x v="1"/>
    <n v="55.1"/>
    <n v="101"/>
    <n v="7"/>
    <n v="3.32"/>
    <n v="7"/>
  </r>
  <r>
    <s v="TRP-00049"/>
    <s v="25-09-2023 17:08"/>
    <x v="0"/>
    <n v="76.400000000000006"/>
    <n v="114"/>
    <n v="5"/>
    <n v="2.78"/>
    <n v="-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B06C5-58D1-4AD9-BB11-77DDFF097647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" firstHeaderRow="1" firstDataRow="2" firstDataCol="1" rowPageCount="1" colPageCount="1"/>
  <pivotFields count="3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Items count="1">
    <i/>
  </rowItems>
  <colFields count="1">
    <field x="1"/>
  </colFields>
  <colItems count="3">
    <i>
      <x/>
    </i>
    <i>
      <x v="1"/>
    </i>
    <i t="grand">
      <x/>
    </i>
  </colItems>
  <pageFields count="1">
    <pageField fld="0" hier="0" name="[Range].[Trip_ID].[All]" cap="All"/>
  </pageFields>
  <dataFields count="1">
    <dataField name="Sum of Fuel_Efficiency_KMPL" fld="2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iginal_Data!$A$1:$H$5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2DB07-4298-455D-A3CA-9BC5D17F7108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6" firstHeaderRow="0" firstDataRow="1" firstDataCol="1"/>
  <pivotFields count="8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uel_Efficiency_KMPL" fld="6" baseField="0" baseItem="0"/>
    <dataField name="Sum of IoT_Tire_Pressure_PSI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481CB6-9616-4508-9521-C66598617B4B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ame" tableColumnId="2"/>
      <queryTableField id="3" name="Age" tableColumnId="3"/>
      <queryTableField id="4" name="Gender_x0009_" tableColumnId="4"/>
      <queryTableField id="5" name="Custom colum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00645F-842B-4A15-B6F3-2AFC281E6B0C}" name="text_to_column" displayName="text_to_column" ref="A1:E7" tableType="queryTable" totalsRowShown="0">
  <autoFilter ref="A1:E7" xr:uid="{5000645F-842B-4A15-B6F3-2AFC281E6B0C}"/>
  <tableColumns count="5">
    <tableColumn id="1" xr3:uid="{085BA063-4F96-4D73-901E-90084A0CBF20}" uniqueName="1" name="ID" queryTableFieldId="1"/>
    <tableColumn id="2" xr3:uid="{02388D17-6230-46BF-AC1D-CC44DDF3729B}" uniqueName="2" name="Name" queryTableFieldId="2" dataDxfId="1"/>
    <tableColumn id="3" xr3:uid="{AA32A569-25C2-441D-8316-FB3ED855AFD1}" uniqueName="3" name="Age" queryTableFieldId="3"/>
    <tableColumn id="4" xr3:uid="{414B697E-FA2D-48F6-9975-700A54864155}" uniqueName="4" name="Gender_x0009_" queryTableFieldId="4" dataDxfId="0"/>
    <tableColumn id="5" xr3:uid="{E9C54A4B-9A00-4BC2-9742-8853AD310B05}" uniqueName="5" name="Custom colum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D41"/>
  <sheetViews>
    <sheetView topLeftCell="A27" workbookViewId="0">
      <selection sqref="A1:D1"/>
    </sheetView>
  </sheetViews>
  <sheetFormatPr defaultColWidth="8.796875" defaultRowHeight="15.6"/>
  <cols>
    <col min="1" max="2" width="20" customWidth="1"/>
    <col min="3" max="3" width="30" customWidth="1"/>
    <col min="4" max="4" width="45" customWidth="1"/>
  </cols>
  <sheetData>
    <row r="1" spans="1:4" ht="21">
      <c r="A1" s="15" t="s">
        <v>0</v>
      </c>
      <c r="B1" s="16"/>
      <c r="C1" s="16"/>
      <c r="D1" s="16"/>
    </row>
    <row r="2" spans="1:4">
      <c r="A2" s="18" t="s">
        <v>1</v>
      </c>
      <c r="B2" s="16"/>
      <c r="C2" s="16"/>
      <c r="D2" s="16"/>
    </row>
    <row r="4" spans="1:4">
      <c r="A4" s="20" t="s">
        <v>2</v>
      </c>
      <c r="B4" s="16"/>
      <c r="C4" s="16"/>
      <c r="D4" s="16"/>
    </row>
    <row r="6" spans="1:4">
      <c r="A6" s="17" t="s">
        <v>3</v>
      </c>
      <c r="B6" s="16"/>
      <c r="C6" s="16"/>
      <c r="D6" s="16"/>
    </row>
    <row r="7" spans="1:4">
      <c r="A7" s="17" t="s">
        <v>4</v>
      </c>
      <c r="B7" s="16"/>
      <c r="C7" s="16"/>
      <c r="D7" s="16"/>
    </row>
    <row r="8" spans="1:4">
      <c r="A8" s="17" t="s">
        <v>5</v>
      </c>
      <c r="B8" s="16"/>
      <c r="C8" s="16"/>
      <c r="D8" s="16"/>
    </row>
    <row r="9" spans="1:4">
      <c r="A9" s="17" t="s">
        <v>6</v>
      </c>
      <c r="B9" s="16"/>
      <c r="C9" s="16"/>
      <c r="D9" s="16"/>
    </row>
    <row r="10" spans="1:4">
      <c r="A10" s="17" t="s">
        <v>7</v>
      </c>
      <c r="B10" s="16"/>
      <c r="C10" s="16"/>
      <c r="D10" s="16"/>
    </row>
    <row r="11" spans="1:4">
      <c r="A11" s="17" t="s">
        <v>8</v>
      </c>
      <c r="B11" s="16"/>
      <c r="C11" s="16"/>
      <c r="D11" s="16"/>
    </row>
    <row r="12" spans="1:4">
      <c r="A12" s="17"/>
      <c r="B12" s="16"/>
      <c r="C12" s="16"/>
      <c r="D12" s="16"/>
    </row>
    <row r="13" spans="1:4">
      <c r="A13" s="19" t="s">
        <v>9</v>
      </c>
      <c r="B13" s="16"/>
      <c r="C13" s="16"/>
      <c r="D13" s="16"/>
    </row>
    <row r="14" spans="1:4">
      <c r="A14" s="17" t="s">
        <v>10</v>
      </c>
      <c r="B14" s="16"/>
      <c r="C14" s="16"/>
      <c r="D14" s="16"/>
    </row>
    <row r="15" spans="1:4">
      <c r="A15" s="17" t="s">
        <v>11</v>
      </c>
      <c r="B15" s="16"/>
      <c r="C15" s="16"/>
      <c r="D15" s="16"/>
    </row>
    <row r="16" spans="1:4">
      <c r="A16" s="17" t="s">
        <v>12</v>
      </c>
      <c r="B16" s="16"/>
      <c r="C16" s="16"/>
      <c r="D16" s="16"/>
    </row>
    <row r="17" spans="1:4">
      <c r="A17" s="17" t="s">
        <v>13</v>
      </c>
      <c r="B17" s="16"/>
      <c r="C17" s="16"/>
      <c r="D17" s="16"/>
    </row>
    <row r="18" spans="1:4">
      <c r="A18" s="17" t="s">
        <v>14</v>
      </c>
      <c r="B18" s="16"/>
      <c r="C18" s="16"/>
      <c r="D18" s="16"/>
    </row>
    <row r="19" spans="1:4">
      <c r="A19" s="17" t="s">
        <v>15</v>
      </c>
      <c r="B19" s="16"/>
      <c r="C19" s="16"/>
      <c r="D19" s="16"/>
    </row>
    <row r="20" spans="1:4">
      <c r="A20" s="17" t="s">
        <v>16</v>
      </c>
      <c r="B20" s="16"/>
      <c r="C20" s="16"/>
      <c r="D20" s="16"/>
    </row>
    <row r="21" spans="1:4">
      <c r="A21" s="17" t="s">
        <v>17</v>
      </c>
      <c r="B21" s="16"/>
      <c r="C21" s="16"/>
      <c r="D21" s="16"/>
    </row>
    <row r="22" spans="1:4">
      <c r="A22" s="17" t="s">
        <v>18</v>
      </c>
      <c r="B22" s="16"/>
      <c r="C22" s="16"/>
      <c r="D22" s="16"/>
    </row>
    <row r="24" spans="1:4">
      <c r="A24" s="12" t="s">
        <v>19</v>
      </c>
    </row>
    <row r="25" spans="1:4">
      <c r="A25" s="6" t="s">
        <v>20</v>
      </c>
      <c r="B25" s="6" t="s">
        <v>21</v>
      </c>
      <c r="C25" s="6" t="s">
        <v>22</v>
      </c>
      <c r="D25" s="6" t="s">
        <v>23</v>
      </c>
    </row>
    <row r="26" spans="1:4">
      <c r="A26" s="11" t="s">
        <v>24</v>
      </c>
      <c r="B26" s="11" t="s">
        <v>25</v>
      </c>
      <c r="C26" s="11" t="s">
        <v>26</v>
      </c>
      <c r="D26" s="11" t="s">
        <v>27</v>
      </c>
    </row>
    <row r="27" spans="1:4" ht="31.2">
      <c r="A27" s="11" t="s">
        <v>28</v>
      </c>
      <c r="B27" s="11" t="s">
        <v>29</v>
      </c>
      <c r="C27" s="11" t="s">
        <v>30</v>
      </c>
      <c r="D27" s="11" t="s">
        <v>31</v>
      </c>
    </row>
    <row r="28" spans="1:4" ht="31.2">
      <c r="A28" s="11" t="s">
        <v>32</v>
      </c>
      <c r="B28" s="11" t="s">
        <v>29</v>
      </c>
      <c r="C28" s="11" t="s">
        <v>33</v>
      </c>
      <c r="D28" s="11" t="s">
        <v>34</v>
      </c>
    </row>
    <row r="29" spans="1:4" ht="31.2">
      <c r="A29" s="11" t="s">
        <v>35</v>
      </c>
      <c r="B29" s="11" t="s">
        <v>36</v>
      </c>
      <c r="C29" s="11" t="s">
        <v>37</v>
      </c>
      <c r="D29" s="11" t="s">
        <v>38</v>
      </c>
    </row>
    <row r="30" spans="1:4" ht="31.2">
      <c r="A30" s="11" t="s">
        <v>39</v>
      </c>
      <c r="B30" s="11" t="s">
        <v>40</v>
      </c>
      <c r="C30" s="11" t="s">
        <v>41</v>
      </c>
      <c r="D30" s="11" t="s">
        <v>42</v>
      </c>
    </row>
    <row r="31" spans="1:4">
      <c r="A31" s="11" t="s">
        <v>43</v>
      </c>
      <c r="B31" s="11" t="s">
        <v>44</v>
      </c>
      <c r="C31" s="11" t="s">
        <v>45</v>
      </c>
      <c r="D31" s="11" t="s">
        <v>46</v>
      </c>
    </row>
    <row r="34" spans="1:4">
      <c r="A34" s="13" t="s">
        <v>47</v>
      </c>
    </row>
    <row r="35" spans="1:4">
      <c r="A35" s="17" t="s">
        <v>48</v>
      </c>
      <c r="B35" s="16"/>
      <c r="C35" s="16"/>
      <c r="D35" s="16"/>
    </row>
    <row r="36" spans="1:4">
      <c r="A36" s="17" t="s">
        <v>49</v>
      </c>
      <c r="B36" s="16"/>
      <c r="C36" s="16"/>
      <c r="D36" s="16"/>
    </row>
    <row r="37" spans="1:4">
      <c r="A37" s="17" t="s">
        <v>50</v>
      </c>
      <c r="B37" s="16"/>
      <c r="C37" s="16"/>
      <c r="D37" s="16"/>
    </row>
    <row r="38" spans="1:4">
      <c r="A38" s="17" t="s">
        <v>51</v>
      </c>
      <c r="B38" s="16"/>
      <c r="C38" s="16"/>
      <c r="D38" s="16"/>
    </row>
    <row r="39" spans="1:4">
      <c r="A39" s="17" t="s">
        <v>52</v>
      </c>
      <c r="B39" s="16"/>
      <c r="C39" s="16"/>
      <c r="D39" s="16"/>
    </row>
    <row r="40" spans="1:4">
      <c r="A40" s="17" t="s">
        <v>53</v>
      </c>
      <c r="B40" s="16"/>
      <c r="C40" s="16"/>
      <c r="D40" s="16"/>
    </row>
    <row r="41" spans="1:4">
      <c r="A41" s="17" t="s">
        <v>54</v>
      </c>
      <c r="B41" s="16"/>
      <c r="C41" s="16"/>
      <c r="D41" s="16"/>
    </row>
  </sheetData>
  <mergeCells count="27">
    <mergeCell ref="A8:D8"/>
    <mergeCell ref="A22:D22"/>
    <mergeCell ref="A35:D35"/>
    <mergeCell ref="A4:D4"/>
    <mergeCell ref="A20:D20"/>
    <mergeCell ref="A9:D9"/>
    <mergeCell ref="A39:D39"/>
    <mergeCell ref="A15:D15"/>
    <mergeCell ref="A11:D11"/>
    <mergeCell ref="A36:D36"/>
    <mergeCell ref="A17:D17"/>
    <mergeCell ref="A1:D1"/>
    <mergeCell ref="A6:D6"/>
    <mergeCell ref="A7:D7"/>
    <mergeCell ref="A41:D41"/>
    <mergeCell ref="A16:D16"/>
    <mergeCell ref="A37:D37"/>
    <mergeCell ref="A18:D18"/>
    <mergeCell ref="A12:D12"/>
    <mergeCell ref="A21:D21"/>
    <mergeCell ref="A2:D2"/>
    <mergeCell ref="A14:D14"/>
    <mergeCell ref="A38:D38"/>
    <mergeCell ref="A19:D19"/>
    <mergeCell ref="A10:D10"/>
    <mergeCell ref="A13:D13"/>
    <mergeCell ref="A40:D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D9"/>
  <sheetViews>
    <sheetView workbookViewId="0">
      <selection activeCell="C13" sqref="C13"/>
    </sheetView>
  </sheetViews>
  <sheetFormatPr defaultColWidth="8.796875" defaultRowHeight="15.6"/>
  <cols>
    <col min="1" max="1" width="20" customWidth="1"/>
    <col min="2" max="2" width="28" customWidth="1"/>
    <col min="3" max="3" width="35" customWidth="1"/>
    <col min="4" max="4" width="65" customWidth="1"/>
  </cols>
  <sheetData>
    <row r="1" spans="1:4" ht="18">
      <c r="A1" s="21" t="s">
        <v>55</v>
      </c>
      <c r="B1" s="16"/>
      <c r="C1" s="16"/>
      <c r="D1" s="16"/>
    </row>
    <row r="3" spans="1:4">
      <c r="A3" s="6" t="s">
        <v>56</v>
      </c>
      <c r="B3" s="6" t="s">
        <v>57</v>
      </c>
      <c r="C3" s="6" t="s">
        <v>58</v>
      </c>
      <c r="D3" s="6" t="s">
        <v>59</v>
      </c>
    </row>
    <row r="4" spans="1:4">
      <c r="A4" s="7" t="s">
        <v>24</v>
      </c>
      <c r="B4" s="7" t="s">
        <v>27</v>
      </c>
      <c r="C4" s="7" t="s">
        <v>60</v>
      </c>
      <c r="D4" s="7" t="str">
        <f>CONCATENATE(A2," - ",TEXT(B2,"MM/DD/YYYY"))</f>
        <v xml:space="preserve"> - 01/00/1900</v>
      </c>
    </row>
    <row r="5" spans="1:4">
      <c r="A5" s="7" t="s">
        <v>61</v>
      </c>
      <c r="B5" s="7" t="s">
        <v>62</v>
      </c>
      <c r="C5" s="7" t="s">
        <v>63</v>
      </c>
      <c r="D5" s="7" t="str">
        <f>IF(B2&lt;=3,CHOOSE(1,"Low"),IF(B2&lt;=3.5,CHOOSE(2,"Medium"),CHOOSE(3,"High")))</f>
        <v>Low</v>
      </c>
    </row>
    <row r="6" spans="1:4">
      <c r="A6" s="7" t="s">
        <v>64</v>
      </c>
      <c r="B6" s="7" t="s">
        <v>34</v>
      </c>
      <c r="C6" s="7" t="s">
        <v>65</v>
      </c>
      <c r="D6" s="7" t="e">
        <f>RANK(B2,$B$2:$B$50,0)</f>
        <v>#N/A</v>
      </c>
    </row>
    <row r="7" spans="1:4" ht="31.2">
      <c r="A7" s="7" t="s">
        <v>66</v>
      </c>
      <c r="B7" s="7" t="s">
        <v>38</v>
      </c>
      <c r="C7" s="7" t="s">
        <v>67</v>
      </c>
      <c r="D7" s="7" t="str">
        <f>INDEX(Original_Data!$A$2:$A$50,1)</f>
        <v>TRP-00001</v>
      </c>
    </row>
    <row r="8" spans="1:4" ht="31.2">
      <c r="A8" s="7" t="s">
        <v>68</v>
      </c>
      <c r="B8" s="7" t="s">
        <v>69</v>
      </c>
      <c r="C8" s="7" t="s">
        <v>70</v>
      </c>
      <c r="D8" s="7" t="e">
        <f>INDEX(Original_Data!$H$2:$H$50,MATCH(A2,Original_Data!$A$2:$A$50,0))</f>
        <v>#N/A</v>
      </c>
    </row>
    <row r="9" spans="1:4">
      <c r="A9" s="7" t="s">
        <v>71</v>
      </c>
      <c r="B9" s="7" t="s">
        <v>72</v>
      </c>
      <c r="C9" s="7" t="s">
        <v>73</v>
      </c>
      <c r="D9" s="7">
        <f>AVERAGE(Original_Data!$H$2:$H$50)</f>
        <v>55.204081632653065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FECA-D14D-4A59-9A73-1A88F66BE48F}">
  <dimension ref="A1:D5"/>
  <sheetViews>
    <sheetView workbookViewId="0">
      <selection activeCell="G15" sqref="G15"/>
    </sheetView>
  </sheetViews>
  <sheetFormatPr defaultRowHeight="15.6"/>
  <cols>
    <col min="1" max="1" width="25.5" bestFit="1" customWidth="1"/>
    <col min="2" max="2" width="16.09765625" bestFit="1" customWidth="1"/>
    <col min="3" max="3" width="15.296875" bestFit="1" customWidth="1"/>
    <col min="4" max="4" width="10.5" bestFit="1" customWidth="1"/>
  </cols>
  <sheetData>
    <row r="1" spans="1:4">
      <c r="A1" s="22" t="s">
        <v>74</v>
      </c>
      <c r="B1" t="s" vm="1">
        <v>252</v>
      </c>
    </row>
    <row r="3" spans="1:4">
      <c r="B3" s="22" t="s">
        <v>251</v>
      </c>
    </row>
    <row r="4" spans="1:4">
      <c r="B4" t="s">
        <v>84</v>
      </c>
      <c r="C4" t="s">
        <v>87</v>
      </c>
      <c r="D4" t="s">
        <v>249</v>
      </c>
    </row>
    <row r="5" spans="1:4">
      <c r="A5" t="s">
        <v>250</v>
      </c>
      <c r="B5" s="24">
        <v>82.63</v>
      </c>
      <c r="C5" s="24">
        <v>85.45</v>
      </c>
      <c r="D5" s="24">
        <v>168.08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1016-5216-4CF9-A762-97F96FA8C652}">
  <dimension ref="A3:C6"/>
  <sheetViews>
    <sheetView workbookViewId="0">
      <selection activeCell="L5" sqref="L5"/>
    </sheetView>
  </sheetViews>
  <sheetFormatPr defaultRowHeight="15.6"/>
  <cols>
    <col min="1" max="1" width="15.5" bestFit="1" customWidth="1"/>
    <col min="2" max="3" width="25.5" bestFit="1" customWidth="1"/>
  </cols>
  <sheetData>
    <row r="3" spans="1:3">
      <c r="A3" s="22" t="s">
        <v>248</v>
      </c>
      <c r="B3" t="s">
        <v>250</v>
      </c>
      <c r="C3" t="s">
        <v>253</v>
      </c>
    </row>
    <row r="4" spans="1:3">
      <c r="A4" s="23" t="s">
        <v>84</v>
      </c>
      <c r="B4" s="24">
        <v>82.630000000000024</v>
      </c>
      <c r="C4" s="24">
        <v>2493</v>
      </c>
    </row>
    <row r="5" spans="1:3">
      <c r="A5" s="23" t="s">
        <v>87</v>
      </c>
      <c r="B5" s="24">
        <v>85.449999999999989</v>
      </c>
      <c r="C5" s="24">
        <v>2594</v>
      </c>
    </row>
    <row r="6" spans="1:3">
      <c r="A6" s="23" t="s">
        <v>249</v>
      </c>
      <c r="B6" s="24">
        <v>168.08</v>
      </c>
      <c r="C6" s="24">
        <v>5087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H401"/>
  <sheetViews>
    <sheetView tabSelected="1" workbookViewId="0">
      <selection activeCell="I13" sqref="I13"/>
    </sheetView>
  </sheetViews>
  <sheetFormatPr defaultColWidth="11.19921875" defaultRowHeight="15.6"/>
  <cols>
    <col min="1" max="1" width="12.5" customWidth="1"/>
    <col min="2" max="2" width="17.5" customWidth="1"/>
    <col min="3" max="3" width="16" customWidth="1"/>
    <col min="4" max="4" width="15.296875" customWidth="1"/>
    <col min="5" max="5" width="15.796875" customWidth="1"/>
    <col min="6" max="6" width="18.5" customWidth="1"/>
    <col min="7" max="7" width="19.796875" customWidth="1"/>
    <col min="8" max="8" width="18.796875" customWidth="1"/>
  </cols>
  <sheetData>
    <row r="1" spans="1:8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</row>
    <row r="2" spans="1:8">
      <c r="A2" s="1" t="s">
        <v>82</v>
      </c>
      <c r="B2" s="2" t="s">
        <v>83</v>
      </c>
      <c r="C2" s="2" t="s">
        <v>84</v>
      </c>
      <c r="D2" s="2">
        <v>63.7</v>
      </c>
      <c r="E2" s="2">
        <v>106</v>
      </c>
      <c r="F2" s="2">
        <v>2</v>
      </c>
      <c r="G2" s="2">
        <v>2.67</v>
      </c>
      <c r="H2" s="2">
        <v>30</v>
      </c>
    </row>
    <row r="3" spans="1:8">
      <c r="A3" s="1" t="s">
        <v>85</v>
      </c>
      <c r="B3" s="2" t="s">
        <v>86</v>
      </c>
      <c r="C3" s="2" t="s">
        <v>87</v>
      </c>
      <c r="D3" s="2">
        <v>66.2</v>
      </c>
      <c r="E3" s="2">
        <v>100</v>
      </c>
      <c r="F3" s="2">
        <v>6</v>
      </c>
      <c r="G3" s="2">
        <v>3.84</v>
      </c>
      <c r="H3" s="2">
        <v>57</v>
      </c>
    </row>
    <row r="4" spans="1:8">
      <c r="A4" s="1" t="s">
        <v>88</v>
      </c>
      <c r="B4" s="2" t="s">
        <v>89</v>
      </c>
      <c r="C4" s="2" t="s">
        <v>84</v>
      </c>
      <c r="D4" s="2">
        <v>57</v>
      </c>
      <c r="E4" s="2">
        <v>91</v>
      </c>
      <c r="F4" s="2">
        <v>6</v>
      </c>
      <c r="G4" s="2">
        <v>3.32</v>
      </c>
      <c r="H4" s="2">
        <v>82</v>
      </c>
    </row>
    <row r="5" spans="1:8">
      <c r="A5" s="1" t="s">
        <v>90</v>
      </c>
      <c r="B5" s="2" t="s">
        <v>91</v>
      </c>
      <c r="C5" s="2" t="s">
        <v>87</v>
      </c>
      <c r="D5" s="2">
        <v>56.7</v>
      </c>
      <c r="E5" s="2">
        <v>95</v>
      </c>
      <c r="F5" s="2">
        <v>6</v>
      </c>
      <c r="G5" s="2">
        <v>3.44</v>
      </c>
      <c r="H5" s="2">
        <v>41</v>
      </c>
    </row>
    <row r="6" spans="1:8">
      <c r="A6" s="1" t="s">
        <v>92</v>
      </c>
      <c r="B6" s="2" t="s">
        <v>93</v>
      </c>
      <c r="C6" s="2" t="s">
        <v>87</v>
      </c>
      <c r="D6" s="2">
        <v>62</v>
      </c>
      <c r="E6" s="2">
        <v>111</v>
      </c>
      <c r="F6" s="2">
        <v>5</v>
      </c>
      <c r="G6" s="2">
        <v>2.6</v>
      </c>
      <c r="H6" s="2">
        <v>71</v>
      </c>
    </row>
    <row r="7" spans="1:8">
      <c r="A7" s="1" t="s">
        <v>94</v>
      </c>
      <c r="B7" s="2" t="s">
        <v>95</v>
      </c>
      <c r="C7" s="2" t="s">
        <v>84</v>
      </c>
      <c r="D7" s="2">
        <v>66.2</v>
      </c>
      <c r="E7" s="2">
        <v>103</v>
      </c>
      <c r="F7" s="2">
        <v>7</v>
      </c>
      <c r="G7" s="2">
        <v>2.88</v>
      </c>
      <c r="H7" s="2">
        <v>117</v>
      </c>
    </row>
    <row r="8" spans="1:8">
      <c r="A8" s="1" t="s">
        <v>96</v>
      </c>
      <c r="B8" s="2" t="s">
        <v>97</v>
      </c>
      <c r="C8" s="2" t="s">
        <v>87</v>
      </c>
      <c r="D8" s="2">
        <v>55.4</v>
      </c>
      <c r="E8" s="2">
        <v>92</v>
      </c>
      <c r="F8" s="2">
        <v>2</v>
      </c>
      <c r="G8" s="2">
        <v>4.08</v>
      </c>
      <c r="H8" s="2">
        <v>39</v>
      </c>
    </row>
    <row r="9" spans="1:8">
      <c r="A9" s="1" t="s">
        <v>98</v>
      </c>
      <c r="B9" s="2" t="s">
        <v>99</v>
      </c>
      <c r="C9" s="2" t="s">
        <v>84</v>
      </c>
      <c r="D9" s="2">
        <v>50</v>
      </c>
      <c r="E9" s="2">
        <v>101</v>
      </c>
      <c r="F9" s="2">
        <v>5</v>
      </c>
      <c r="G9" s="2">
        <v>3.41</v>
      </c>
      <c r="H9" s="2">
        <v>45</v>
      </c>
    </row>
    <row r="10" spans="1:8">
      <c r="A10" s="1" t="s">
        <v>100</v>
      </c>
      <c r="B10" s="2" t="s">
        <v>101</v>
      </c>
      <c r="C10" s="2" t="s">
        <v>84</v>
      </c>
      <c r="D10" s="2">
        <v>61.5</v>
      </c>
      <c r="E10" s="2">
        <v>93</v>
      </c>
      <c r="F10" s="2">
        <v>4</v>
      </c>
      <c r="G10" s="2">
        <v>3.1</v>
      </c>
      <c r="H10" s="2">
        <v>73</v>
      </c>
    </row>
    <row r="11" spans="1:8">
      <c r="A11" s="1" t="s">
        <v>102</v>
      </c>
      <c r="B11" s="3">
        <v>45145.844444444447</v>
      </c>
      <c r="C11" s="2" t="s">
        <v>87</v>
      </c>
      <c r="D11" s="2">
        <v>36.4</v>
      </c>
      <c r="E11" s="2">
        <v>101</v>
      </c>
      <c r="F11" s="2">
        <v>6</v>
      </c>
      <c r="G11" s="2">
        <v>3.27</v>
      </c>
      <c r="H11" s="2">
        <v>-8</v>
      </c>
    </row>
    <row r="12" spans="1:8">
      <c r="A12" s="1" t="s">
        <v>103</v>
      </c>
      <c r="B12" s="2" t="s">
        <v>104</v>
      </c>
      <c r="C12" s="2" t="s">
        <v>87</v>
      </c>
      <c r="D12" s="2">
        <v>64.099999999999994</v>
      </c>
      <c r="E12" s="2">
        <v>102</v>
      </c>
      <c r="F12" s="2">
        <v>4</v>
      </c>
      <c r="G12" s="2">
        <v>4.21</v>
      </c>
      <c r="H12" s="2">
        <v>0</v>
      </c>
    </row>
    <row r="13" spans="1:8">
      <c r="A13" s="1" t="s">
        <v>105</v>
      </c>
      <c r="B13" s="2" t="s">
        <v>106</v>
      </c>
      <c r="C13" s="2" t="s">
        <v>84</v>
      </c>
      <c r="D13" s="2">
        <v>47.9</v>
      </c>
      <c r="E13" s="2">
        <v>91</v>
      </c>
      <c r="F13" s="2">
        <v>6</v>
      </c>
      <c r="G13" s="2">
        <v>4</v>
      </c>
      <c r="H13" s="2">
        <v>100</v>
      </c>
    </row>
    <row r="14" spans="1:8">
      <c r="A14" s="1" t="s">
        <v>107</v>
      </c>
      <c r="B14" s="2" t="s">
        <v>108</v>
      </c>
      <c r="C14" s="2" t="s">
        <v>87</v>
      </c>
      <c r="D14" s="2">
        <v>52.6</v>
      </c>
      <c r="E14" s="2">
        <v>91</v>
      </c>
      <c r="F14" s="2">
        <v>1</v>
      </c>
      <c r="G14" s="2">
        <v>3.04</v>
      </c>
      <c r="H14" s="2">
        <v>45</v>
      </c>
    </row>
    <row r="15" spans="1:8">
      <c r="A15" s="1" t="s">
        <v>109</v>
      </c>
      <c r="B15" s="3">
        <v>45117.482638888891</v>
      </c>
      <c r="C15" s="2" t="s">
        <v>84</v>
      </c>
      <c r="D15" s="2">
        <v>64.2</v>
      </c>
      <c r="E15" s="2">
        <v>104</v>
      </c>
      <c r="F15" s="2">
        <v>5</v>
      </c>
      <c r="G15" s="2">
        <v>2.74</v>
      </c>
      <c r="H15" s="2">
        <v>-1</v>
      </c>
    </row>
    <row r="16" spans="1:8">
      <c r="A16" s="1" t="s">
        <v>110</v>
      </c>
      <c r="B16" s="3">
        <v>45261.988888888889</v>
      </c>
      <c r="C16" s="2" t="s">
        <v>84</v>
      </c>
      <c r="D16" s="2">
        <v>50.8</v>
      </c>
      <c r="E16" s="2">
        <v>112</v>
      </c>
      <c r="F16" s="2">
        <v>5</v>
      </c>
      <c r="G16" s="2">
        <v>3</v>
      </c>
      <c r="H16" s="2">
        <v>115</v>
      </c>
    </row>
    <row r="17" spans="1:8">
      <c r="A17" s="1" t="s">
        <v>111</v>
      </c>
      <c r="B17" s="2" t="s">
        <v>112</v>
      </c>
      <c r="C17" s="2" t="s">
        <v>84</v>
      </c>
      <c r="D17" s="2">
        <v>61.5</v>
      </c>
      <c r="E17" s="2">
        <v>118</v>
      </c>
      <c r="F17" s="2">
        <v>7</v>
      </c>
      <c r="G17" s="2">
        <v>4.34</v>
      </c>
      <c r="H17" s="2">
        <v>86</v>
      </c>
    </row>
    <row r="18" spans="1:8">
      <c r="A18" s="1" t="s">
        <v>113</v>
      </c>
      <c r="B18" s="2" t="s">
        <v>114</v>
      </c>
      <c r="C18" s="2" t="s">
        <v>87</v>
      </c>
      <c r="D18" s="2">
        <v>66.400000000000006</v>
      </c>
      <c r="E18" s="2">
        <v>106</v>
      </c>
      <c r="F18" s="2">
        <v>0</v>
      </c>
      <c r="G18" s="2">
        <v>3.66</v>
      </c>
      <c r="H18" s="2">
        <v>38</v>
      </c>
    </row>
    <row r="19" spans="1:8">
      <c r="A19" s="1" t="s">
        <v>115</v>
      </c>
      <c r="B19" s="3">
        <v>45267.809027777781</v>
      </c>
      <c r="C19" s="2" t="s">
        <v>87</v>
      </c>
      <c r="D19" s="2">
        <v>56.1</v>
      </c>
      <c r="E19" s="2">
        <v>96</v>
      </c>
      <c r="F19" s="2">
        <v>3</v>
      </c>
      <c r="G19" s="2">
        <v>3.57</v>
      </c>
      <c r="H19" s="2">
        <v>-2</v>
      </c>
    </row>
    <row r="20" spans="1:8">
      <c r="A20" s="1" t="s">
        <v>116</v>
      </c>
      <c r="B20" s="2" t="s">
        <v>117</v>
      </c>
      <c r="C20" s="2" t="s">
        <v>87</v>
      </c>
      <c r="D20" s="2">
        <v>58.1</v>
      </c>
      <c r="E20" s="2">
        <v>119</v>
      </c>
      <c r="F20" s="2">
        <v>2</v>
      </c>
      <c r="G20" s="2">
        <v>3.69</v>
      </c>
      <c r="H20" s="2">
        <v>20</v>
      </c>
    </row>
    <row r="21" spans="1:8">
      <c r="A21" s="1" t="s">
        <v>118</v>
      </c>
      <c r="B21" s="2" t="s">
        <v>119</v>
      </c>
      <c r="C21" s="2" t="s">
        <v>87</v>
      </c>
      <c r="D21" s="2">
        <v>53.8</v>
      </c>
      <c r="E21" s="2">
        <v>117</v>
      </c>
      <c r="F21" s="2">
        <v>0</v>
      </c>
      <c r="G21" s="2">
        <v>3.23</v>
      </c>
      <c r="H21" s="2">
        <v>89</v>
      </c>
    </row>
    <row r="22" spans="1:8">
      <c r="A22" s="1" t="s">
        <v>120</v>
      </c>
      <c r="B22" s="2" t="s">
        <v>121</v>
      </c>
      <c r="C22" s="2" t="s">
        <v>84</v>
      </c>
      <c r="D22" s="2">
        <v>56.2</v>
      </c>
      <c r="E22" s="2">
        <v>103</v>
      </c>
      <c r="F22" s="2">
        <v>5</v>
      </c>
      <c r="G22" s="2">
        <v>4.1100000000000003</v>
      </c>
      <c r="H22" s="2">
        <v>66</v>
      </c>
    </row>
    <row r="23" spans="1:8">
      <c r="A23" s="1" t="s">
        <v>122</v>
      </c>
      <c r="B23" s="2" t="s">
        <v>123</v>
      </c>
      <c r="C23" s="2" t="s">
        <v>84</v>
      </c>
      <c r="D23" s="2">
        <v>43.8</v>
      </c>
      <c r="E23" s="2">
        <v>101</v>
      </c>
      <c r="F23" s="2">
        <v>0</v>
      </c>
      <c r="G23" s="2">
        <v>3.55</v>
      </c>
      <c r="H23" s="2">
        <v>51</v>
      </c>
    </row>
    <row r="24" spans="1:8">
      <c r="A24" s="1" t="s">
        <v>124</v>
      </c>
      <c r="B24" s="3">
        <v>45144.828472222223</v>
      </c>
      <c r="C24" s="2" t="s">
        <v>87</v>
      </c>
      <c r="D24" s="2">
        <v>52.1</v>
      </c>
      <c r="E24" s="2">
        <v>119</v>
      </c>
      <c r="F24" s="2">
        <v>1</v>
      </c>
      <c r="G24" s="2">
        <v>2.73</v>
      </c>
      <c r="H24" s="2">
        <v>-6</v>
      </c>
    </row>
    <row r="25" spans="1:8">
      <c r="A25" s="1" t="s">
        <v>125</v>
      </c>
      <c r="B25" s="2" t="s">
        <v>126</v>
      </c>
      <c r="C25" s="2" t="s">
        <v>87</v>
      </c>
      <c r="D25" s="2">
        <v>42.1</v>
      </c>
      <c r="E25" s="2">
        <v>106</v>
      </c>
      <c r="F25" s="2">
        <v>3</v>
      </c>
      <c r="G25" s="2">
        <v>2.76</v>
      </c>
      <c r="H25" s="2">
        <v>33</v>
      </c>
    </row>
    <row r="26" spans="1:8">
      <c r="A26" s="1" t="s">
        <v>127</v>
      </c>
      <c r="B26" s="3">
        <v>44988.081250000003</v>
      </c>
      <c r="C26" s="2" t="s">
        <v>87</v>
      </c>
      <c r="D26" s="2">
        <v>46</v>
      </c>
      <c r="E26" s="2">
        <v>103</v>
      </c>
      <c r="F26" s="2">
        <v>7</v>
      </c>
      <c r="G26" s="2">
        <v>3.57</v>
      </c>
      <c r="H26" s="2">
        <v>95</v>
      </c>
    </row>
    <row r="27" spans="1:8">
      <c r="A27" s="1" t="s">
        <v>128</v>
      </c>
      <c r="B27" s="3">
        <v>44968.231249999997</v>
      </c>
      <c r="C27" s="2" t="s">
        <v>84</v>
      </c>
      <c r="D27" s="2">
        <v>35</v>
      </c>
      <c r="E27" s="2">
        <v>95</v>
      </c>
      <c r="F27" s="2">
        <v>5</v>
      </c>
      <c r="G27" s="2">
        <v>4.37</v>
      </c>
      <c r="H27" s="2">
        <v>49</v>
      </c>
    </row>
    <row r="28" spans="1:8">
      <c r="A28" s="1" t="s">
        <v>129</v>
      </c>
      <c r="B28" s="2" t="s">
        <v>130</v>
      </c>
      <c r="C28" s="2" t="s">
        <v>87</v>
      </c>
      <c r="D28" s="2">
        <v>57.6</v>
      </c>
      <c r="E28" s="2">
        <v>108</v>
      </c>
      <c r="F28" s="2">
        <v>5</v>
      </c>
      <c r="G28" s="2">
        <v>3.12</v>
      </c>
      <c r="H28" s="2">
        <v>41</v>
      </c>
    </row>
    <row r="29" spans="1:8">
      <c r="A29" s="1" t="s">
        <v>131</v>
      </c>
      <c r="B29" s="2" t="s">
        <v>132</v>
      </c>
      <c r="C29" s="2" t="s">
        <v>84</v>
      </c>
      <c r="D29" s="2">
        <v>71.900000000000006</v>
      </c>
      <c r="E29" s="2">
        <v>113</v>
      </c>
      <c r="F29" s="2">
        <v>2</v>
      </c>
      <c r="G29" s="2">
        <v>4.24</v>
      </c>
      <c r="H29" s="2">
        <v>11</v>
      </c>
    </row>
    <row r="30" spans="1:8">
      <c r="A30" s="1" t="s">
        <v>133</v>
      </c>
      <c r="B30" s="2" t="s">
        <v>134</v>
      </c>
      <c r="C30" s="2" t="s">
        <v>87</v>
      </c>
      <c r="D30" s="2">
        <v>50.4</v>
      </c>
      <c r="E30" s="2">
        <v>95</v>
      </c>
      <c r="F30" s="2">
        <v>7</v>
      </c>
      <c r="G30" s="2">
        <v>4.03</v>
      </c>
      <c r="H30" s="2">
        <v>97</v>
      </c>
    </row>
    <row r="31" spans="1:8">
      <c r="A31" s="1" t="s">
        <v>135</v>
      </c>
      <c r="B31" s="2" t="s">
        <v>136</v>
      </c>
      <c r="C31" s="2" t="s">
        <v>84</v>
      </c>
      <c r="D31" s="2">
        <v>64.7</v>
      </c>
      <c r="E31" s="2">
        <v>116</v>
      </c>
      <c r="F31" s="2">
        <v>7</v>
      </c>
      <c r="G31" s="2">
        <v>3</v>
      </c>
      <c r="H31" s="2">
        <v>117</v>
      </c>
    </row>
    <row r="32" spans="1:8">
      <c r="A32" s="1" t="s">
        <v>137</v>
      </c>
      <c r="B32" s="3">
        <v>45242.32708333333</v>
      </c>
      <c r="C32" s="2" t="s">
        <v>84</v>
      </c>
      <c r="D32" s="2">
        <v>66.3</v>
      </c>
      <c r="E32" s="2">
        <v>107</v>
      </c>
      <c r="F32" s="2">
        <v>6</v>
      </c>
      <c r="G32" s="2">
        <v>2.57</v>
      </c>
      <c r="H32" s="2">
        <v>55</v>
      </c>
    </row>
    <row r="33" spans="1:8">
      <c r="A33" s="1" t="s">
        <v>138</v>
      </c>
      <c r="B33" s="3">
        <v>45201.993055555547</v>
      </c>
      <c r="C33" s="2" t="s">
        <v>87</v>
      </c>
      <c r="D33" s="2">
        <v>43</v>
      </c>
      <c r="E33" s="2">
        <v>113</v>
      </c>
      <c r="F33" s="2">
        <v>3</v>
      </c>
      <c r="G33" s="2">
        <v>2.7</v>
      </c>
      <c r="H33" s="2">
        <v>67</v>
      </c>
    </row>
    <row r="34" spans="1:8">
      <c r="A34" s="1" t="s">
        <v>139</v>
      </c>
      <c r="B34" s="3">
        <v>45142.62222222222</v>
      </c>
      <c r="C34" s="2" t="s">
        <v>87</v>
      </c>
      <c r="D34" s="2">
        <v>45.2</v>
      </c>
      <c r="E34" s="2">
        <v>94</v>
      </c>
      <c r="F34" s="2">
        <v>1</v>
      </c>
      <c r="G34" s="2">
        <v>3.96</v>
      </c>
      <c r="H34" s="2">
        <v>41</v>
      </c>
    </row>
    <row r="35" spans="1:8">
      <c r="A35" s="1" t="s">
        <v>140</v>
      </c>
      <c r="B35" s="3">
        <v>45117.711111111108</v>
      </c>
      <c r="C35" s="2" t="s">
        <v>84</v>
      </c>
      <c r="D35" s="2">
        <v>64.900000000000006</v>
      </c>
      <c r="E35" s="2">
        <v>113</v>
      </c>
      <c r="F35" s="2">
        <v>4</v>
      </c>
      <c r="G35" s="2">
        <v>2.9</v>
      </c>
      <c r="H35" s="2">
        <v>104</v>
      </c>
    </row>
    <row r="36" spans="1:8">
      <c r="A36" s="1" t="s">
        <v>141</v>
      </c>
      <c r="B36" s="2" t="s">
        <v>142</v>
      </c>
      <c r="C36" s="2" t="s">
        <v>87</v>
      </c>
      <c r="D36" s="2">
        <v>54.1</v>
      </c>
      <c r="E36" s="2">
        <v>113</v>
      </c>
      <c r="F36" s="2">
        <v>0</v>
      </c>
      <c r="G36" s="2">
        <v>3.24</v>
      </c>
      <c r="H36" s="2">
        <v>77</v>
      </c>
    </row>
    <row r="37" spans="1:8">
      <c r="A37" s="1" t="s">
        <v>143</v>
      </c>
      <c r="B37" s="2" t="s">
        <v>144</v>
      </c>
      <c r="C37" s="2" t="s">
        <v>84</v>
      </c>
      <c r="D37" s="2">
        <v>42.1</v>
      </c>
      <c r="E37" s="2">
        <v>95</v>
      </c>
      <c r="F37" s="2">
        <v>7</v>
      </c>
      <c r="G37" s="2">
        <v>3.5</v>
      </c>
      <c r="H37" s="2">
        <v>-1</v>
      </c>
    </row>
    <row r="38" spans="1:8">
      <c r="A38" s="1" t="s">
        <v>145</v>
      </c>
      <c r="B38" s="2" t="s">
        <v>146</v>
      </c>
      <c r="C38" s="2" t="s">
        <v>84</v>
      </c>
      <c r="D38" s="2">
        <v>48.6</v>
      </c>
      <c r="E38" s="2">
        <v>91</v>
      </c>
      <c r="F38" s="2">
        <v>2</v>
      </c>
      <c r="G38" s="2">
        <v>3.95</v>
      </c>
      <c r="H38" s="2">
        <v>95</v>
      </c>
    </row>
    <row r="39" spans="1:8">
      <c r="A39" s="1" t="s">
        <v>147</v>
      </c>
      <c r="B39" s="3">
        <v>45053.029166666667</v>
      </c>
      <c r="C39" s="2" t="s">
        <v>84</v>
      </c>
      <c r="D39" s="2">
        <v>59.2</v>
      </c>
      <c r="E39" s="2">
        <v>97</v>
      </c>
      <c r="F39" s="2">
        <v>5</v>
      </c>
      <c r="G39" s="2">
        <v>2.73</v>
      </c>
      <c r="H39" s="2">
        <v>85</v>
      </c>
    </row>
    <row r="40" spans="1:8">
      <c r="A40" s="1" t="s">
        <v>148</v>
      </c>
      <c r="B40" s="3">
        <v>44988.942361111112</v>
      </c>
      <c r="C40" s="2" t="s">
        <v>84</v>
      </c>
      <c r="D40" s="2">
        <v>47.1</v>
      </c>
      <c r="E40" s="2">
        <v>104</v>
      </c>
      <c r="F40" s="2">
        <v>4</v>
      </c>
      <c r="G40" s="2">
        <v>3.31</v>
      </c>
      <c r="H40" s="2">
        <v>103</v>
      </c>
    </row>
    <row r="41" spans="1:8">
      <c r="A41" s="1" t="s">
        <v>149</v>
      </c>
      <c r="B41" s="3">
        <v>45144.543055555558</v>
      </c>
      <c r="C41" s="2" t="s">
        <v>87</v>
      </c>
      <c r="D41" s="2">
        <v>27.3</v>
      </c>
      <c r="E41" s="2">
        <v>104</v>
      </c>
      <c r="F41" s="2">
        <v>1</v>
      </c>
      <c r="G41" s="2">
        <v>3.47</v>
      </c>
      <c r="H41" s="2">
        <v>60</v>
      </c>
    </row>
    <row r="42" spans="1:8">
      <c r="A42" s="1" t="s">
        <v>150</v>
      </c>
      <c r="B42" s="2" t="s">
        <v>151</v>
      </c>
      <c r="C42" s="2" t="s">
        <v>87</v>
      </c>
      <c r="D42" s="2">
        <v>51.8</v>
      </c>
      <c r="E42" s="2">
        <v>100</v>
      </c>
      <c r="F42" s="2">
        <v>3</v>
      </c>
      <c r="G42" s="2">
        <v>3.58</v>
      </c>
      <c r="H42" s="2">
        <v>4</v>
      </c>
    </row>
    <row r="43" spans="1:8">
      <c r="A43" s="1" t="s">
        <v>152</v>
      </c>
      <c r="B43" s="2" t="s">
        <v>153</v>
      </c>
      <c r="C43" s="2" t="s">
        <v>84</v>
      </c>
      <c r="D43" s="2">
        <v>52.6</v>
      </c>
      <c r="E43" s="2">
        <v>111</v>
      </c>
      <c r="F43" s="2">
        <v>7</v>
      </c>
      <c r="G43" s="2">
        <v>4.1399999999999997</v>
      </c>
      <c r="H43" s="2">
        <v>115</v>
      </c>
    </row>
    <row r="44" spans="1:8">
      <c r="A44" s="1" t="s">
        <v>154</v>
      </c>
      <c r="B44" s="2" t="s">
        <v>155</v>
      </c>
      <c r="C44" s="2" t="s">
        <v>87</v>
      </c>
      <c r="D44" s="2">
        <v>55.1</v>
      </c>
      <c r="E44" s="2">
        <v>111</v>
      </c>
      <c r="F44" s="2">
        <v>0</v>
      </c>
      <c r="G44" s="2">
        <v>2.84</v>
      </c>
      <c r="H44" s="2">
        <v>57</v>
      </c>
    </row>
    <row r="45" spans="1:8">
      <c r="A45" s="1" t="s">
        <v>156</v>
      </c>
      <c r="B45" s="2" t="s">
        <v>157</v>
      </c>
      <c r="C45" s="2" t="s">
        <v>84</v>
      </c>
      <c r="D45" s="2">
        <v>67.599999999999994</v>
      </c>
      <c r="E45" s="2">
        <v>113</v>
      </c>
      <c r="F45" s="2">
        <v>7</v>
      </c>
      <c r="G45" s="2">
        <v>4.12</v>
      </c>
      <c r="H45" s="2">
        <v>106</v>
      </c>
    </row>
    <row r="46" spans="1:8">
      <c r="A46" s="1" t="s">
        <v>158</v>
      </c>
      <c r="B46" s="2" t="s">
        <v>159</v>
      </c>
      <c r="C46" s="2" t="s">
        <v>87</v>
      </c>
      <c r="D46" s="2">
        <v>55.5</v>
      </c>
      <c r="E46" s="2">
        <v>90</v>
      </c>
      <c r="F46" s="2">
        <v>2</v>
      </c>
      <c r="G46" s="2">
        <v>3.89</v>
      </c>
      <c r="H46" s="2">
        <v>25</v>
      </c>
    </row>
    <row r="47" spans="1:8">
      <c r="A47" s="1" t="s">
        <v>160</v>
      </c>
      <c r="B47" s="2" t="s">
        <v>161</v>
      </c>
      <c r="C47" s="2" t="s">
        <v>87</v>
      </c>
      <c r="D47" s="2">
        <v>57.4</v>
      </c>
      <c r="E47" s="2">
        <v>107</v>
      </c>
      <c r="F47" s="2">
        <v>7</v>
      </c>
      <c r="G47" s="2">
        <v>3.61</v>
      </c>
      <c r="H47" s="2">
        <v>114</v>
      </c>
    </row>
    <row r="48" spans="1:8">
      <c r="A48" s="1" t="s">
        <v>162</v>
      </c>
      <c r="B48" s="3">
        <v>45111.100694444453</v>
      </c>
      <c r="C48" s="2" t="s">
        <v>84</v>
      </c>
      <c r="D48" s="2">
        <v>65.599999999999994</v>
      </c>
      <c r="E48" s="2">
        <v>101</v>
      </c>
      <c r="F48" s="2">
        <v>7</v>
      </c>
      <c r="G48" s="2">
        <v>3.9</v>
      </c>
      <c r="H48" s="2">
        <v>7</v>
      </c>
    </row>
    <row r="49" spans="1:8">
      <c r="A49" s="1" t="s">
        <v>163</v>
      </c>
      <c r="B49" s="3">
        <v>45051.486805555563</v>
      </c>
      <c r="C49" s="2" t="s">
        <v>87</v>
      </c>
      <c r="D49" s="2">
        <v>55.1</v>
      </c>
      <c r="E49" s="2">
        <v>101</v>
      </c>
      <c r="F49" s="2">
        <v>7</v>
      </c>
      <c r="G49" s="2">
        <v>3.32</v>
      </c>
      <c r="H49" s="2">
        <v>7</v>
      </c>
    </row>
    <row r="50" spans="1:8">
      <c r="A50" s="1" t="s">
        <v>164</v>
      </c>
      <c r="B50" s="2" t="s">
        <v>165</v>
      </c>
      <c r="C50" s="2" t="s">
        <v>84</v>
      </c>
      <c r="D50" s="2">
        <v>76.400000000000006</v>
      </c>
      <c r="E50" s="2">
        <v>114</v>
      </c>
      <c r="F50" s="2">
        <v>5</v>
      </c>
      <c r="G50" s="2">
        <v>2.78</v>
      </c>
      <c r="H50" s="2">
        <v>-7</v>
      </c>
    </row>
    <row r="51" spans="1:8">
      <c r="A51" s="1"/>
      <c r="B51" s="2"/>
      <c r="C51" s="2"/>
      <c r="D51" s="2"/>
      <c r="E51" s="2"/>
      <c r="F51" s="2"/>
      <c r="G51" s="2"/>
      <c r="H51" s="2"/>
    </row>
    <row r="52" spans="1:8">
      <c r="A52" s="1"/>
      <c r="B52" s="3"/>
      <c r="C52" s="2"/>
      <c r="D52" s="2"/>
      <c r="E52" s="2"/>
      <c r="F52" s="2"/>
      <c r="G52" s="2"/>
      <c r="H52" s="2"/>
    </row>
    <row r="53" spans="1:8">
      <c r="A53" s="1"/>
      <c r="B53" s="2"/>
      <c r="C53" s="2"/>
      <c r="D53" s="2"/>
      <c r="E53" s="2"/>
      <c r="F53" s="2"/>
      <c r="G53" s="2"/>
      <c r="H53" s="2"/>
    </row>
    <row r="54" spans="1:8">
      <c r="A54" s="1"/>
      <c r="B54" s="2"/>
      <c r="C54" s="2"/>
      <c r="D54" s="2"/>
      <c r="E54" s="2"/>
      <c r="F54" s="2"/>
      <c r="G54" s="2"/>
      <c r="H54" s="2"/>
    </row>
    <row r="55" spans="1:8">
      <c r="A55" s="1"/>
      <c r="B55" s="2"/>
      <c r="C55" s="2"/>
      <c r="D55" s="2"/>
      <c r="E55" s="2"/>
      <c r="F55" s="2"/>
      <c r="G55" s="2"/>
      <c r="H55" s="2"/>
    </row>
    <row r="56" spans="1:8">
      <c r="A56" s="1"/>
      <c r="B56" s="2"/>
      <c r="C56" s="2"/>
      <c r="D56" s="2"/>
      <c r="E56" s="2"/>
      <c r="F56" s="2"/>
      <c r="G56" s="2"/>
      <c r="H56" s="2"/>
    </row>
    <row r="57" spans="1:8">
      <c r="A57" s="1"/>
      <c r="B57" s="2"/>
      <c r="C57" s="2"/>
      <c r="D57" s="2"/>
      <c r="E57" s="2"/>
      <c r="F57" s="2"/>
      <c r="G57" s="2"/>
      <c r="H57" s="2"/>
    </row>
    <row r="58" spans="1:8">
      <c r="A58" s="1"/>
      <c r="B58" s="3"/>
      <c r="C58" s="2"/>
      <c r="D58" s="2"/>
      <c r="E58" s="2"/>
      <c r="F58" s="2"/>
      <c r="G58" s="2"/>
      <c r="H58" s="2"/>
    </row>
    <row r="59" spans="1:8">
      <c r="A59" s="1"/>
      <c r="B59" s="2"/>
      <c r="C59" s="2"/>
      <c r="D59" s="2"/>
      <c r="E59" s="2"/>
      <c r="F59" s="2"/>
      <c r="G59" s="2"/>
      <c r="H59" s="2"/>
    </row>
    <row r="60" spans="1:8">
      <c r="A60" s="1"/>
      <c r="B60" s="2"/>
      <c r="C60" s="2"/>
      <c r="D60" s="2"/>
      <c r="E60" s="2"/>
      <c r="F60" s="2"/>
      <c r="G60" s="2"/>
      <c r="H60" s="2"/>
    </row>
    <row r="61" spans="1:8">
      <c r="A61" s="1"/>
      <c r="B61" s="2"/>
      <c r="C61" s="2"/>
      <c r="D61" s="2"/>
      <c r="E61" s="2"/>
      <c r="F61" s="2"/>
      <c r="G61" s="2"/>
      <c r="H61" s="2"/>
    </row>
    <row r="62" spans="1:8">
      <c r="A62" s="1"/>
      <c r="B62" s="2"/>
      <c r="C62" s="2"/>
      <c r="D62" s="2"/>
      <c r="E62" s="2"/>
      <c r="F62" s="2"/>
      <c r="G62" s="2"/>
      <c r="H62" s="2"/>
    </row>
    <row r="63" spans="1:8">
      <c r="A63" s="1"/>
      <c r="B63" s="2"/>
      <c r="C63" s="2"/>
      <c r="D63" s="2"/>
      <c r="E63" s="2"/>
      <c r="F63" s="2"/>
      <c r="G63" s="2"/>
      <c r="H63" s="2"/>
    </row>
    <row r="64" spans="1:8">
      <c r="A64" s="1"/>
      <c r="B64" s="3"/>
      <c r="C64" s="2"/>
      <c r="D64" s="2"/>
      <c r="E64" s="2"/>
      <c r="F64" s="2"/>
      <c r="G64" s="2"/>
      <c r="H64" s="2"/>
    </row>
    <row r="65" spans="1:8">
      <c r="A65" s="1"/>
      <c r="B65" s="2"/>
      <c r="C65" s="2"/>
      <c r="D65" s="2"/>
      <c r="E65" s="2"/>
      <c r="F65" s="2"/>
      <c r="G65" s="2"/>
      <c r="H65" s="2"/>
    </row>
    <row r="66" spans="1:8">
      <c r="A66" s="1"/>
      <c r="B66" s="2"/>
      <c r="C66" s="2"/>
      <c r="D66" s="2"/>
      <c r="E66" s="2"/>
      <c r="F66" s="2"/>
      <c r="G66" s="2"/>
      <c r="H66" s="2"/>
    </row>
    <row r="67" spans="1:8">
      <c r="A67" s="1"/>
      <c r="B67" s="2"/>
      <c r="C67" s="2"/>
      <c r="D67" s="2"/>
      <c r="E67" s="2"/>
      <c r="F67" s="2"/>
      <c r="G67" s="2"/>
      <c r="H67" s="2"/>
    </row>
    <row r="68" spans="1:8">
      <c r="A68" s="1"/>
      <c r="B68" s="3"/>
      <c r="C68" s="2"/>
      <c r="D68" s="2"/>
      <c r="E68" s="2"/>
      <c r="F68" s="2"/>
      <c r="G68" s="2"/>
      <c r="H68" s="2"/>
    </row>
    <row r="69" spans="1:8">
      <c r="A69" s="1"/>
      <c r="B69" s="3"/>
      <c r="C69" s="2"/>
      <c r="D69" s="2"/>
      <c r="E69" s="2"/>
      <c r="F69" s="2"/>
      <c r="G69" s="2"/>
      <c r="H69" s="2"/>
    </row>
    <row r="70" spans="1:8">
      <c r="A70" s="1"/>
      <c r="B70" s="3"/>
      <c r="C70" s="2"/>
      <c r="D70" s="2"/>
      <c r="E70" s="2"/>
      <c r="F70" s="2"/>
      <c r="G70" s="2"/>
      <c r="H70" s="2"/>
    </row>
    <row r="71" spans="1:8">
      <c r="A71" s="1"/>
      <c r="B71" s="2"/>
      <c r="C71" s="2"/>
      <c r="D71" s="2"/>
      <c r="E71" s="2"/>
      <c r="F71" s="2"/>
      <c r="G71" s="2"/>
      <c r="H71" s="2"/>
    </row>
    <row r="72" spans="1:8">
      <c r="A72" s="1"/>
      <c r="B72" s="3"/>
      <c r="C72" s="2"/>
      <c r="D72" s="2"/>
      <c r="E72" s="2"/>
      <c r="F72" s="2"/>
      <c r="G72" s="2"/>
      <c r="H72" s="2"/>
    </row>
    <row r="73" spans="1:8">
      <c r="A73" s="1"/>
      <c r="B73" s="2"/>
      <c r="C73" s="2"/>
      <c r="D73" s="2"/>
      <c r="E73" s="2"/>
      <c r="F73" s="2"/>
      <c r="G73" s="2"/>
      <c r="H73" s="2"/>
    </row>
    <row r="74" spans="1:8">
      <c r="A74" s="1"/>
      <c r="B74" s="3"/>
      <c r="C74" s="2"/>
      <c r="D74" s="2"/>
      <c r="E74" s="2"/>
      <c r="F74" s="2"/>
      <c r="G74" s="2"/>
      <c r="H74" s="2"/>
    </row>
    <row r="75" spans="1:8">
      <c r="A75" s="1"/>
      <c r="B75" s="3"/>
      <c r="C75" s="2"/>
      <c r="D75" s="2"/>
      <c r="E75" s="2"/>
      <c r="F75" s="2"/>
      <c r="G75" s="2"/>
      <c r="H75" s="2"/>
    </row>
    <row r="76" spans="1:8">
      <c r="A76" s="1"/>
      <c r="B76" s="3"/>
      <c r="C76" s="2"/>
      <c r="D76" s="2"/>
      <c r="E76" s="2"/>
      <c r="F76" s="2"/>
      <c r="G76" s="2"/>
      <c r="H76" s="2"/>
    </row>
    <row r="77" spans="1:8">
      <c r="A77" s="1"/>
      <c r="B77" s="3"/>
      <c r="C77" s="2"/>
      <c r="D77" s="2"/>
      <c r="E77" s="2"/>
      <c r="F77" s="2"/>
      <c r="G77" s="2"/>
      <c r="H77" s="2"/>
    </row>
    <row r="78" spans="1:8">
      <c r="A78" s="1"/>
      <c r="B78" s="3"/>
      <c r="C78" s="2"/>
      <c r="D78" s="2"/>
      <c r="E78" s="2"/>
      <c r="F78" s="2"/>
      <c r="G78" s="2"/>
      <c r="H78" s="2"/>
    </row>
    <row r="79" spans="1:8">
      <c r="A79" s="1"/>
      <c r="B79" s="3"/>
      <c r="C79" s="2"/>
      <c r="D79" s="2"/>
      <c r="E79" s="2"/>
      <c r="F79" s="2"/>
      <c r="G79" s="2"/>
      <c r="H79" s="2"/>
    </row>
    <row r="80" spans="1:8">
      <c r="A80" s="1"/>
      <c r="B80" s="2"/>
      <c r="C80" s="2"/>
      <c r="D80" s="2"/>
      <c r="E80" s="2"/>
      <c r="F80" s="2"/>
      <c r="G80" s="2"/>
      <c r="H80" s="2"/>
    </row>
    <row r="81" spans="1:8">
      <c r="A81" s="1"/>
      <c r="B81" s="3"/>
      <c r="C81" s="2"/>
      <c r="D81" s="2"/>
      <c r="E81" s="2"/>
      <c r="F81" s="2"/>
      <c r="G81" s="2"/>
      <c r="H81" s="2"/>
    </row>
    <row r="82" spans="1:8">
      <c r="A82" s="1"/>
      <c r="B82" s="2"/>
      <c r="C82" s="2"/>
      <c r="D82" s="2"/>
      <c r="E82" s="2"/>
      <c r="F82" s="2"/>
      <c r="G82" s="2"/>
      <c r="H82" s="2"/>
    </row>
    <row r="83" spans="1:8">
      <c r="A83" s="1"/>
      <c r="B83" s="3"/>
      <c r="C83" s="2"/>
      <c r="D83" s="2"/>
      <c r="E83" s="2"/>
      <c r="F83" s="2"/>
      <c r="G83" s="2"/>
      <c r="H83" s="2"/>
    </row>
    <row r="84" spans="1:8">
      <c r="A84" s="1"/>
      <c r="B84" s="3"/>
      <c r="C84" s="2"/>
      <c r="D84" s="2"/>
      <c r="E84" s="2"/>
      <c r="F84" s="2"/>
      <c r="G84" s="2"/>
      <c r="H84" s="2"/>
    </row>
    <row r="85" spans="1:8">
      <c r="A85" s="1"/>
      <c r="B85" s="2"/>
      <c r="C85" s="2"/>
      <c r="D85" s="2"/>
      <c r="E85" s="2"/>
      <c r="F85" s="2"/>
      <c r="G85" s="2"/>
      <c r="H85" s="2"/>
    </row>
    <row r="86" spans="1:8">
      <c r="A86" s="1"/>
      <c r="B86" s="3"/>
      <c r="C86" s="2"/>
      <c r="D86" s="2"/>
      <c r="E86" s="2"/>
      <c r="F86" s="2"/>
      <c r="G86" s="2"/>
      <c r="H86" s="2"/>
    </row>
    <row r="87" spans="1:8">
      <c r="A87" s="1"/>
      <c r="B87" s="2"/>
      <c r="C87" s="2"/>
      <c r="D87" s="2"/>
      <c r="E87" s="2"/>
      <c r="F87" s="2"/>
      <c r="G87" s="2"/>
      <c r="H87" s="2"/>
    </row>
    <row r="88" spans="1:8">
      <c r="A88" s="1"/>
      <c r="B88" s="3"/>
      <c r="C88" s="2"/>
      <c r="D88" s="2"/>
      <c r="E88" s="2"/>
      <c r="F88" s="2"/>
      <c r="G88" s="2"/>
      <c r="H88" s="2"/>
    </row>
    <row r="89" spans="1:8">
      <c r="A89" s="1"/>
      <c r="B89" s="3"/>
      <c r="C89" s="2"/>
      <c r="D89" s="2"/>
      <c r="E89" s="2"/>
      <c r="F89" s="2"/>
      <c r="G89" s="2"/>
      <c r="H89" s="2"/>
    </row>
    <row r="90" spans="1:8">
      <c r="A90" s="1"/>
      <c r="B90" s="3"/>
      <c r="C90" s="2"/>
      <c r="D90" s="2"/>
      <c r="E90" s="2"/>
      <c r="F90" s="2"/>
      <c r="G90" s="2"/>
      <c r="H90" s="2"/>
    </row>
    <row r="91" spans="1:8">
      <c r="A91" s="1"/>
      <c r="B91" s="3"/>
      <c r="C91" s="2"/>
      <c r="D91" s="2"/>
      <c r="E91" s="2"/>
      <c r="F91" s="2"/>
      <c r="G91" s="2"/>
      <c r="H91" s="2"/>
    </row>
    <row r="92" spans="1:8">
      <c r="A92" s="1"/>
      <c r="B92" s="2"/>
      <c r="C92" s="2"/>
      <c r="D92" s="2"/>
      <c r="E92" s="2"/>
      <c r="F92" s="2"/>
      <c r="G92" s="2"/>
      <c r="H92" s="2"/>
    </row>
    <row r="93" spans="1:8">
      <c r="A93" s="1"/>
      <c r="B93" s="2"/>
      <c r="C93" s="2"/>
      <c r="D93" s="2"/>
      <c r="E93" s="2"/>
      <c r="F93" s="2"/>
      <c r="G93" s="2"/>
      <c r="H93" s="2"/>
    </row>
    <row r="94" spans="1:8">
      <c r="A94" s="1"/>
      <c r="B94" s="3"/>
      <c r="C94" s="2"/>
      <c r="D94" s="2"/>
      <c r="E94" s="2"/>
      <c r="F94" s="2"/>
      <c r="G94" s="2"/>
      <c r="H94" s="2"/>
    </row>
    <row r="95" spans="1:8">
      <c r="A95" s="1"/>
      <c r="B95" s="3"/>
      <c r="C95" s="2"/>
      <c r="D95" s="2"/>
      <c r="E95" s="2"/>
      <c r="F95" s="2"/>
      <c r="G95" s="2"/>
      <c r="H95" s="2"/>
    </row>
    <row r="96" spans="1:8">
      <c r="A96" s="1"/>
      <c r="B96" s="3"/>
      <c r="C96" s="2"/>
      <c r="D96" s="2"/>
      <c r="E96" s="2"/>
      <c r="F96" s="2"/>
      <c r="G96" s="2"/>
      <c r="H96" s="2"/>
    </row>
    <row r="97" spans="1:8">
      <c r="A97" s="1"/>
      <c r="B97" s="2"/>
      <c r="C97" s="2"/>
      <c r="D97" s="2"/>
      <c r="E97" s="2"/>
      <c r="F97" s="2"/>
      <c r="G97" s="2"/>
      <c r="H97" s="2"/>
    </row>
    <row r="98" spans="1:8">
      <c r="A98" s="1"/>
      <c r="B98" s="2"/>
      <c r="C98" s="2"/>
      <c r="D98" s="2"/>
      <c r="E98" s="2"/>
      <c r="F98" s="2"/>
      <c r="G98" s="2"/>
      <c r="H98" s="2"/>
    </row>
    <row r="99" spans="1:8">
      <c r="A99" s="1"/>
      <c r="B99" s="3"/>
      <c r="C99" s="2"/>
      <c r="D99" s="2"/>
      <c r="E99" s="2"/>
      <c r="F99" s="2"/>
      <c r="G99" s="2"/>
      <c r="H99" s="2"/>
    </row>
    <row r="100" spans="1:8">
      <c r="A100" s="1"/>
      <c r="B100" s="3"/>
      <c r="C100" s="2"/>
      <c r="D100" s="2"/>
      <c r="E100" s="2"/>
      <c r="F100" s="2"/>
      <c r="G100" s="2"/>
      <c r="H100" s="2"/>
    </row>
    <row r="101" spans="1:8">
      <c r="A101" s="1"/>
      <c r="B101" s="3"/>
      <c r="C101" s="2"/>
      <c r="D101" s="2"/>
      <c r="E101" s="2"/>
      <c r="F101" s="2"/>
      <c r="G101" s="2"/>
      <c r="H101" s="2"/>
    </row>
    <row r="102" spans="1:8">
      <c r="A102" s="1"/>
      <c r="B102" s="2"/>
      <c r="C102" s="2"/>
      <c r="D102" s="2"/>
      <c r="E102" s="2"/>
      <c r="F102" s="2"/>
      <c r="G102" s="2"/>
      <c r="H102" s="2"/>
    </row>
    <row r="103" spans="1:8">
      <c r="A103" s="1"/>
      <c r="B103" s="3"/>
      <c r="C103" s="2"/>
      <c r="D103" s="2"/>
      <c r="E103" s="2"/>
      <c r="F103" s="2"/>
      <c r="G103" s="2"/>
      <c r="H103" s="2"/>
    </row>
    <row r="104" spans="1:8">
      <c r="A104" s="1"/>
      <c r="B104" s="3"/>
      <c r="C104" s="2"/>
      <c r="D104" s="2"/>
      <c r="E104" s="2"/>
      <c r="F104" s="2"/>
      <c r="G104" s="2"/>
      <c r="H104" s="2"/>
    </row>
    <row r="105" spans="1:8">
      <c r="A105" s="1"/>
      <c r="B105" s="3"/>
      <c r="C105" s="2"/>
      <c r="D105" s="2"/>
      <c r="E105" s="2"/>
      <c r="F105" s="2"/>
      <c r="G105" s="2"/>
      <c r="H105" s="2"/>
    </row>
    <row r="106" spans="1:8">
      <c r="A106" s="1"/>
      <c r="B106" s="3"/>
      <c r="C106" s="2"/>
      <c r="D106" s="2"/>
      <c r="E106" s="2"/>
      <c r="F106" s="2"/>
      <c r="G106" s="2"/>
      <c r="H106" s="2"/>
    </row>
    <row r="107" spans="1:8">
      <c r="A107" s="1"/>
      <c r="B107" s="2"/>
      <c r="C107" s="2"/>
      <c r="D107" s="2"/>
      <c r="E107" s="2"/>
      <c r="F107" s="2"/>
      <c r="G107" s="2"/>
      <c r="H107" s="2"/>
    </row>
    <row r="108" spans="1:8">
      <c r="A108" s="1"/>
      <c r="B108" s="3"/>
      <c r="C108" s="2"/>
      <c r="D108" s="2"/>
      <c r="E108" s="2"/>
      <c r="F108" s="2"/>
      <c r="G108" s="2"/>
      <c r="H108" s="2"/>
    </row>
    <row r="109" spans="1:8">
      <c r="A109" s="1"/>
      <c r="B109" s="2"/>
      <c r="C109" s="2"/>
      <c r="D109" s="2"/>
      <c r="E109" s="2"/>
      <c r="F109" s="2"/>
      <c r="G109" s="2"/>
      <c r="H109" s="2"/>
    </row>
    <row r="110" spans="1:8">
      <c r="A110" s="1"/>
      <c r="B110" s="3"/>
      <c r="C110" s="2"/>
      <c r="D110" s="2"/>
      <c r="E110" s="2"/>
      <c r="F110" s="2"/>
      <c r="G110" s="2"/>
      <c r="H110" s="2"/>
    </row>
    <row r="111" spans="1:8">
      <c r="A111" s="1"/>
      <c r="B111" s="3"/>
      <c r="C111" s="2"/>
      <c r="D111" s="2"/>
      <c r="E111" s="2"/>
      <c r="F111" s="2"/>
      <c r="G111" s="2"/>
      <c r="H111" s="2"/>
    </row>
    <row r="112" spans="1:8">
      <c r="A112" s="1"/>
      <c r="B112" s="2"/>
      <c r="C112" s="2"/>
      <c r="D112" s="2"/>
      <c r="E112" s="2"/>
      <c r="F112" s="2"/>
      <c r="G112" s="2"/>
      <c r="H112" s="2"/>
    </row>
    <row r="113" spans="1:8">
      <c r="A113" s="1"/>
      <c r="B113" s="2"/>
      <c r="C113" s="2"/>
      <c r="D113" s="2"/>
      <c r="E113" s="2"/>
      <c r="F113" s="2"/>
      <c r="G113" s="2"/>
      <c r="H113" s="2"/>
    </row>
    <row r="114" spans="1:8">
      <c r="A114" s="1"/>
      <c r="B114" s="2"/>
      <c r="C114" s="2"/>
      <c r="D114" s="2"/>
      <c r="E114" s="2"/>
      <c r="F114" s="2"/>
      <c r="G114" s="2"/>
      <c r="H114" s="2"/>
    </row>
    <row r="115" spans="1:8">
      <c r="A115" s="1"/>
      <c r="B115" s="2"/>
      <c r="C115" s="2"/>
      <c r="D115" s="2"/>
      <c r="E115" s="2"/>
      <c r="F115" s="2"/>
      <c r="G115" s="2"/>
      <c r="H115" s="2"/>
    </row>
    <row r="116" spans="1:8">
      <c r="A116" s="1"/>
      <c r="B116" s="3"/>
      <c r="C116" s="2"/>
      <c r="D116" s="2"/>
      <c r="E116" s="2"/>
      <c r="F116" s="2"/>
      <c r="G116" s="2"/>
      <c r="H116" s="2"/>
    </row>
    <row r="117" spans="1:8">
      <c r="A117" s="1"/>
      <c r="B117" s="2"/>
      <c r="C117" s="2"/>
      <c r="D117" s="2"/>
      <c r="E117" s="2"/>
      <c r="F117" s="2"/>
      <c r="G117" s="2"/>
      <c r="H117" s="2"/>
    </row>
    <row r="118" spans="1:8">
      <c r="A118" s="1"/>
      <c r="B118" s="3"/>
      <c r="C118" s="2"/>
      <c r="D118" s="2"/>
      <c r="E118" s="2"/>
      <c r="F118" s="2"/>
      <c r="G118" s="2"/>
      <c r="H118" s="2"/>
    </row>
    <row r="119" spans="1:8">
      <c r="A119" s="1"/>
      <c r="B119" s="2"/>
      <c r="C119" s="2"/>
      <c r="D119" s="2"/>
      <c r="E119" s="2"/>
      <c r="F119" s="2"/>
      <c r="G119" s="2"/>
      <c r="H119" s="2"/>
    </row>
    <row r="120" spans="1:8">
      <c r="A120" s="1"/>
      <c r="B120" s="2"/>
      <c r="C120" s="2"/>
      <c r="D120" s="2"/>
      <c r="E120" s="2"/>
      <c r="F120" s="2"/>
      <c r="G120" s="2"/>
      <c r="H120" s="2"/>
    </row>
    <row r="121" spans="1:8">
      <c r="A121" s="1"/>
      <c r="B121" s="2"/>
      <c r="C121" s="2"/>
      <c r="D121" s="2"/>
      <c r="E121" s="2"/>
      <c r="F121" s="2"/>
      <c r="G121" s="2"/>
      <c r="H121" s="2"/>
    </row>
    <row r="122" spans="1:8">
      <c r="A122" s="1"/>
      <c r="B122" s="2"/>
      <c r="C122" s="2"/>
      <c r="D122" s="2"/>
      <c r="E122" s="2"/>
      <c r="F122" s="2"/>
      <c r="G122" s="2"/>
      <c r="H122" s="2"/>
    </row>
    <row r="123" spans="1:8">
      <c r="A123" s="1"/>
      <c r="B123" s="3"/>
      <c r="C123" s="2"/>
      <c r="D123" s="2"/>
      <c r="E123" s="2"/>
      <c r="F123" s="2"/>
      <c r="G123" s="2"/>
      <c r="H123" s="2"/>
    </row>
    <row r="124" spans="1:8">
      <c r="A124" s="1"/>
      <c r="B124" s="2"/>
      <c r="C124" s="2"/>
      <c r="D124" s="2"/>
      <c r="E124" s="2"/>
      <c r="F124" s="2"/>
      <c r="G124" s="2"/>
      <c r="H124" s="2"/>
    </row>
    <row r="125" spans="1:8">
      <c r="A125" s="1"/>
      <c r="B125" s="3"/>
      <c r="C125" s="2"/>
      <c r="D125" s="2"/>
      <c r="E125" s="2"/>
      <c r="F125" s="2"/>
      <c r="G125" s="2"/>
      <c r="H125" s="2"/>
    </row>
    <row r="126" spans="1:8">
      <c r="A126" s="1"/>
      <c r="B126" s="3"/>
      <c r="C126" s="2"/>
      <c r="D126" s="2"/>
      <c r="E126" s="2"/>
      <c r="F126" s="2"/>
      <c r="G126" s="2"/>
      <c r="H126" s="2"/>
    </row>
    <row r="127" spans="1:8">
      <c r="A127" s="1"/>
      <c r="B127" s="3"/>
      <c r="C127" s="2"/>
      <c r="D127" s="2"/>
      <c r="E127" s="2"/>
      <c r="F127" s="2"/>
      <c r="G127" s="2"/>
      <c r="H127" s="2"/>
    </row>
    <row r="128" spans="1:8">
      <c r="A128" s="1"/>
      <c r="B128" s="2"/>
      <c r="C128" s="2"/>
      <c r="D128" s="2"/>
      <c r="E128" s="2"/>
      <c r="F128" s="2"/>
      <c r="G128" s="2"/>
      <c r="H128" s="2"/>
    </row>
    <row r="129" spans="1:8">
      <c r="A129" s="1"/>
      <c r="B129" s="3"/>
      <c r="C129" s="2"/>
      <c r="D129" s="2"/>
      <c r="E129" s="2"/>
      <c r="F129" s="2"/>
      <c r="G129" s="2"/>
      <c r="H129" s="2"/>
    </row>
    <row r="130" spans="1:8">
      <c r="A130" s="1"/>
      <c r="B130" s="3"/>
      <c r="C130" s="2"/>
      <c r="D130" s="2"/>
      <c r="E130" s="2"/>
      <c r="F130" s="2"/>
      <c r="G130" s="2"/>
      <c r="H130" s="2"/>
    </row>
    <row r="131" spans="1:8">
      <c r="A131" s="1"/>
      <c r="B131" s="2"/>
      <c r="C131" s="2"/>
      <c r="D131" s="2"/>
      <c r="E131" s="2"/>
      <c r="F131" s="2"/>
      <c r="G131" s="2"/>
      <c r="H131" s="2"/>
    </row>
    <row r="132" spans="1:8">
      <c r="A132" s="1"/>
      <c r="B132" s="2"/>
      <c r="C132" s="2"/>
      <c r="D132" s="2"/>
      <c r="E132" s="2"/>
      <c r="F132" s="2"/>
      <c r="G132" s="2"/>
      <c r="H132" s="2"/>
    </row>
    <row r="133" spans="1:8">
      <c r="A133" s="1"/>
      <c r="B133" s="2"/>
      <c r="C133" s="2"/>
      <c r="D133" s="2"/>
      <c r="E133" s="2"/>
      <c r="F133" s="2"/>
      <c r="G133" s="2"/>
      <c r="H133" s="2"/>
    </row>
    <row r="134" spans="1:8">
      <c r="A134" s="1"/>
      <c r="B134" s="3"/>
      <c r="C134" s="2"/>
      <c r="D134" s="2"/>
      <c r="E134" s="2"/>
      <c r="F134" s="2"/>
      <c r="G134" s="2"/>
      <c r="H134" s="2"/>
    </row>
    <row r="135" spans="1:8">
      <c r="A135" s="1"/>
      <c r="B135" s="3"/>
      <c r="C135" s="2"/>
      <c r="D135" s="2"/>
      <c r="E135" s="2"/>
      <c r="F135" s="2"/>
      <c r="G135" s="2"/>
      <c r="H135" s="2"/>
    </row>
    <row r="136" spans="1:8">
      <c r="A136" s="1"/>
      <c r="B136" s="2"/>
      <c r="C136" s="2"/>
      <c r="D136" s="2"/>
      <c r="E136" s="2"/>
      <c r="F136" s="2"/>
      <c r="G136" s="2"/>
      <c r="H136" s="2"/>
    </row>
    <row r="137" spans="1:8">
      <c r="A137" s="1"/>
      <c r="B137" s="2"/>
      <c r="C137" s="2"/>
      <c r="D137" s="2"/>
      <c r="E137" s="2"/>
      <c r="F137" s="2"/>
      <c r="G137" s="2"/>
      <c r="H137" s="2"/>
    </row>
    <row r="138" spans="1:8">
      <c r="A138" s="1"/>
      <c r="B138" s="3"/>
      <c r="C138" s="2"/>
      <c r="D138" s="2"/>
      <c r="E138" s="2"/>
      <c r="F138" s="2"/>
      <c r="G138" s="2"/>
      <c r="H138" s="2"/>
    </row>
    <row r="139" spans="1:8">
      <c r="A139" s="1"/>
      <c r="B139" s="2"/>
      <c r="C139" s="2"/>
      <c r="D139" s="2"/>
      <c r="E139" s="2"/>
      <c r="F139" s="2"/>
      <c r="G139" s="2"/>
      <c r="H139" s="2"/>
    </row>
    <row r="140" spans="1:8">
      <c r="A140" s="1"/>
      <c r="B140" s="3"/>
      <c r="C140" s="2"/>
      <c r="D140" s="2"/>
      <c r="E140" s="2"/>
      <c r="F140" s="2"/>
      <c r="G140" s="2"/>
      <c r="H140" s="2"/>
    </row>
    <row r="141" spans="1:8">
      <c r="A141" s="1"/>
      <c r="B141" s="2"/>
      <c r="C141" s="2"/>
      <c r="D141" s="2"/>
      <c r="E141" s="2"/>
      <c r="F141" s="2"/>
      <c r="G141" s="2"/>
      <c r="H141" s="2"/>
    </row>
    <row r="142" spans="1:8">
      <c r="A142" s="1"/>
      <c r="B142" s="3"/>
      <c r="C142" s="2"/>
      <c r="D142" s="2"/>
      <c r="E142" s="2"/>
      <c r="F142" s="2"/>
      <c r="G142" s="2"/>
      <c r="H142" s="2"/>
    </row>
    <row r="143" spans="1:8">
      <c r="A143" s="1"/>
      <c r="B143" s="2"/>
      <c r="C143" s="2"/>
      <c r="D143" s="2"/>
      <c r="E143" s="2"/>
      <c r="F143" s="2"/>
      <c r="G143" s="2"/>
      <c r="H143" s="2"/>
    </row>
    <row r="144" spans="1:8">
      <c r="A144" s="1"/>
      <c r="B144" s="2"/>
      <c r="C144" s="2"/>
      <c r="D144" s="2"/>
      <c r="E144" s="2"/>
      <c r="F144" s="2"/>
      <c r="G144" s="2"/>
      <c r="H144" s="2"/>
    </row>
    <row r="145" spans="1:8">
      <c r="A145" s="1"/>
      <c r="B145" s="3"/>
      <c r="C145" s="2"/>
      <c r="D145" s="2"/>
      <c r="E145" s="2"/>
      <c r="F145" s="2"/>
      <c r="G145" s="2"/>
      <c r="H145" s="2"/>
    </row>
    <row r="146" spans="1:8">
      <c r="A146" s="1"/>
      <c r="B146" s="2"/>
      <c r="C146" s="2"/>
      <c r="D146" s="2"/>
      <c r="E146" s="2"/>
      <c r="F146" s="2"/>
      <c r="G146" s="2"/>
      <c r="H146" s="2"/>
    </row>
    <row r="147" spans="1:8">
      <c r="A147" s="1"/>
      <c r="B147" s="2"/>
      <c r="C147" s="2"/>
      <c r="D147" s="2"/>
      <c r="E147" s="2"/>
      <c r="F147" s="2"/>
      <c r="G147" s="2"/>
      <c r="H147" s="2"/>
    </row>
    <row r="148" spans="1:8">
      <c r="A148" s="1"/>
      <c r="B148" s="2"/>
      <c r="C148" s="2"/>
      <c r="D148" s="2"/>
      <c r="E148" s="2"/>
      <c r="F148" s="2"/>
      <c r="G148" s="2"/>
      <c r="H148" s="2"/>
    </row>
    <row r="149" spans="1:8">
      <c r="A149" s="1"/>
      <c r="B149" s="2"/>
      <c r="C149" s="2"/>
      <c r="D149" s="2"/>
      <c r="E149" s="2"/>
      <c r="F149" s="2"/>
      <c r="G149" s="2"/>
      <c r="H149" s="2"/>
    </row>
    <row r="150" spans="1:8">
      <c r="A150" s="1"/>
      <c r="B150" s="2"/>
      <c r="C150" s="2"/>
      <c r="D150" s="2"/>
      <c r="E150" s="2"/>
      <c r="F150" s="2"/>
      <c r="G150" s="2"/>
      <c r="H150" s="2"/>
    </row>
    <row r="151" spans="1:8">
      <c r="A151" s="1"/>
      <c r="B151" s="3"/>
      <c r="C151" s="2"/>
      <c r="D151" s="2"/>
      <c r="E151" s="2"/>
      <c r="F151" s="2"/>
      <c r="G151" s="2"/>
      <c r="H151" s="2"/>
    </row>
    <row r="152" spans="1:8">
      <c r="A152" s="1"/>
      <c r="B152" s="2"/>
      <c r="C152" s="2"/>
      <c r="D152" s="2"/>
      <c r="E152" s="2"/>
      <c r="F152" s="2"/>
      <c r="G152" s="2"/>
      <c r="H152" s="2"/>
    </row>
    <row r="153" spans="1:8">
      <c r="A153" s="1"/>
      <c r="B153" s="2"/>
      <c r="C153" s="2"/>
      <c r="D153" s="2"/>
      <c r="E153" s="2"/>
      <c r="F153" s="2"/>
      <c r="G153" s="2"/>
      <c r="H153" s="2"/>
    </row>
    <row r="154" spans="1:8">
      <c r="A154" s="1"/>
      <c r="B154" s="2"/>
      <c r="C154" s="2"/>
      <c r="D154" s="2"/>
      <c r="E154" s="2"/>
      <c r="F154" s="2"/>
      <c r="G154" s="2"/>
      <c r="H154" s="2"/>
    </row>
    <row r="155" spans="1:8">
      <c r="A155" s="1"/>
      <c r="B155" s="2"/>
      <c r="C155" s="2"/>
      <c r="D155" s="2"/>
      <c r="E155" s="2"/>
      <c r="F155" s="2"/>
      <c r="G155" s="2"/>
      <c r="H155" s="2"/>
    </row>
    <row r="156" spans="1:8">
      <c r="A156" s="1"/>
      <c r="B156" s="3"/>
      <c r="C156" s="2"/>
      <c r="D156" s="2"/>
      <c r="E156" s="2"/>
      <c r="F156" s="2"/>
      <c r="G156" s="2"/>
      <c r="H156" s="2"/>
    </row>
    <row r="157" spans="1:8">
      <c r="A157" s="1"/>
      <c r="B157" s="2"/>
      <c r="C157" s="2"/>
      <c r="D157" s="2"/>
      <c r="E157" s="2"/>
      <c r="F157" s="2"/>
      <c r="G157" s="2"/>
      <c r="H157" s="2"/>
    </row>
    <row r="158" spans="1:8">
      <c r="A158" s="1"/>
      <c r="B158" s="2"/>
      <c r="C158" s="2"/>
      <c r="D158" s="2"/>
      <c r="E158" s="2"/>
      <c r="F158" s="2"/>
      <c r="G158" s="2"/>
      <c r="H158" s="2"/>
    </row>
    <row r="159" spans="1:8">
      <c r="A159" s="1"/>
      <c r="B159" s="2"/>
      <c r="C159" s="2"/>
      <c r="D159" s="2"/>
      <c r="E159" s="2"/>
      <c r="F159" s="2"/>
      <c r="G159" s="2"/>
      <c r="H159" s="2"/>
    </row>
    <row r="160" spans="1:8">
      <c r="A160" s="1"/>
      <c r="B160" s="3"/>
      <c r="C160" s="2"/>
      <c r="D160" s="2"/>
      <c r="E160" s="2"/>
      <c r="F160" s="2"/>
      <c r="G160" s="2"/>
      <c r="H160" s="2"/>
    </row>
    <row r="161" spans="1:8">
      <c r="A161" s="1"/>
      <c r="B161" s="3"/>
      <c r="C161" s="2"/>
      <c r="D161" s="2"/>
      <c r="E161" s="2"/>
      <c r="F161" s="2"/>
      <c r="G161" s="2"/>
      <c r="H161" s="2"/>
    </row>
    <row r="162" spans="1:8">
      <c r="A162" s="1"/>
      <c r="B162" s="3"/>
      <c r="C162" s="2"/>
      <c r="D162" s="2"/>
      <c r="E162" s="2"/>
      <c r="F162" s="2"/>
      <c r="G162" s="2"/>
      <c r="H162" s="2"/>
    </row>
    <row r="163" spans="1:8">
      <c r="A163" s="1"/>
      <c r="B163" s="3"/>
      <c r="C163" s="2"/>
      <c r="D163" s="2"/>
      <c r="E163" s="2"/>
      <c r="F163" s="2"/>
      <c r="G163" s="2"/>
      <c r="H163" s="2"/>
    </row>
    <row r="164" spans="1:8">
      <c r="A164" s="1"/>
      <c r="B164" s="2"/>
      <c r="C164" s="2"/>
      <c r="D164" s="2"/>
      <c r="E164" s="2"/>
      <c r="F164" s="2"/>
      <c r="G164" s="2"/>
      <c r="H164" s="2"/>
    </row>
    <row r="165" spans="1:8">
      <c r="A165" s="1"/>
      <c r="B165" s="2"/>
      <c r="C165" s="2"/>
      <c r="D165" s="2"/>
      <c r="E165" s="2"/>
      <c r="F165" s="2"/>
      <c r="G165" s="2"/>
      <c r="H165" s="2"/>
    </row>
    <row r="166" spans="1:8">
      <c r="A166" s="1"/>
      <c r="B166" s="3"/>
      <c r="C166" s="2"/>
      <c r="D166" s="2"/>
      <c r="E166" s="2"/>
      <c r="F166" s="2"/>
      <c r="G166" s="2"/>
      <c r="H166" s="2"/>
    </row>
    <row r="167" spans="1:8">
      <c r="A167" s="1"/>
      <c r="B167" s="3"/>
      <c r="C167" s="2"/>
      <c r="D167" s="2"/>
      <c r="E167" s="2"/>
      <c r="F167" s="2"/>
      <c r="G167" s="2"/>
      <c r="H167" s="2"/>
    </row>
    <row r="168" spans="1:8">
      <c r="A168" s="1"/>
      <c r="B168" s="3"/>
      <c r="C168" s="2"/>
      <c r="D168" s="2"/>
      <c r="E168" s="2"/>
      <c r="F168" s="2"/>
      <c r="G168" s="2"/>
      <c r="H168" s="2"/>
    </row>
    <row r="169" spans="1:8">
      <c r="A169" s="1"/>
      <c r="B169" s="3"/>
      <c r="C169" s="2"/>
      <c r="D169" s="2"/>
      <c r="E169" s="2"/>
      <c r="F169" s="2"/>
      <c r="G169" s="2"/>
      <c r="H169" s="2"/>
    </row>
    <row r="170" spans="1:8">
      <c r="A170" s="1"/>
      <c r="B170" s="2"/>
      <c r="C170" s="2"/>
      <c r="D170" s="2"/>
      <c r="E170" s="2"/>
      <c r="F170" s="2"/>
      <c r="G170" s="2"/>
      <c r="H170" s="2"/>
    </row>
    <row r="171" spans="1:8">
      <c r="A171" s="1"/>
      <c r="B171" s="2"/>
      <c r="C171" s="2"/>
      <c r="D171" s="2"/>
      <c r="E171" s="2"/>
      <c r="F171" s="2"/>
      <c r="G171" s="2"/>
      <c r="H171" s="2"/>
    </row>
    <row r="172" spans="1:8">
      <c r="A172" s="1"/>
      <c r="B172" s="2"/>
      <c r="C172" s="2"/>
      <c r="D172" s="2"/>
      <c r="E172" s="2"/>
      <c r="F172" s="2"/>
      <c r="G172" s="2"/>
      <c r="H172" s="2"/>
    </row>
    <row r="173" spans="1:8">
      <c r="A173" s="1"/>
      <c r="B173" s="2"/>
      <c r="C173" s="2"/>
      <c r="D173" s="2"/>
      <c r="E173" s="2"/>
      <c r="F173" s="2"/>
      <c r="G173" s="2"/>
      <c r="H173" s="2"/>
    </row>
    <row r="174" spans="1:8">
      <c r="A174" s="1"/>
      <c r="B174" s="2"/>
      <c r="C174" s="2"/>
      <c r="D174" s="2"/>
      <c r="E174" s="2"/>
      <c r="F174" s="2"/>
      <c r="G174" s="2"/>
      <c r="H174" s="2"/>
    </row>
    <row r="175" spans="1:8">
      <c r="A175" s="1"/>
      <c r="B175" s="2"/>
      <c r="C175" s="2"/>
      <c r="D175" s="2"/>
      <c r="E175" s="2"/>
      <c r="F175" s="2"/>
      <c r="G175" s="2"/>
      <c r="H175" s="2"/>
    </row>
    <row r="176" spans="1:8">
      <c r="A176" s="1"/>
      <c r="B176" s="2"/>
      <c r="C176" s="2"/>
      <c r="D176" s="2"/>
      <c r="E176" s="2"/>
      <c r="F176" s="2"/>
      <c r="G176" s="2"/>
      <c r="H176" s="2"/>
    </row>
    <row r="177" spans="1:8">
      <c r="A177" s="1"/>
      <c r="B177" s="3"/>
      <c r="C177" s="2"/>
      <c r="D177" s="2"/>
      <c r="E177" s="2"/>
      <c r="F177" s="2"/>
      <c r="G177" s="2"/>
      <c r="H177" s="2"/>
    </row>
    <row r="178" spans="1:8">
      <c r="A178" s="1"/>
      <c r="B178" s="3"/>
      <c r="C178" s="2"/>
      <c r="D178" s="2"/>
      <c r="E178" s="2"/>
      <c r="F178" s="2"/>
      <c r="G178" s="2"/>
      <c r="H178" s="2"/>
    </row>
    <row r="179" spans="1:8">
      <c r="A179" s="1"/>
      <c r="B179" s="2"/>
      <c r="C179" s="2"/>
      <c r="D179" s="2"/>
      <c r="E179" s="2"/>
      <c r="F179" s="2"/>
      <c r="G179" s="2"/>
      <c r="H179" s="2"/>
    </row>
    <row r="180" spans="1:8">
      <c r="A180" s="1"/>
      <c r="B180" s="2"/>
      <c r="C180" s="2"/>
      <c r="D180" s="2"/>
      <c r="E180" s="2"/>
      <c r="F180" s="2"/>
      <c r="G180" s="2"/>
      <c r="H180" s="2"/>
    </row>
    <row r="181" spans="1:8">
      <c r="A181" s="1"/>
      <c r="B181" s="2"/>
      <c r="C181" s="2"/>
      <c r="D181" s="2"/>
      <c r="E181" s="2"/>
      <c r="F181" s="2"/>
      <c r="G181" s="2"/>
      <c r="H181" s="2"/>
    </row>
    <row r="182" spans="1:8">
      <c r="A182" s="1"/>
      <c r="B182" s="2"/>
      <c r="C182" s="2"/>
      <c r="D182" s="2"/>
      <c r="E182" s="2"/>
      <c r="F182" s="2"/>
      <c r="G182" s="2"/>
      <c r="H182" s="2"/>
    </row>
    <row r="183" spans="1:8">
      <c r="A183" s="1"/>
      <c r="B183" s="2"/>
      <c r="C183" s="2"/>
      <c r="D183" s="2"/>
      <c r="E183" s="2"/>
      <c r="F183" s="2"/>
      <c r="G183" s="2"/>
      <c r="H183" s="2"/>
    </row>
    <row r="184" spans="1:8">
      <c r="A184" s="1"/>
      <c r="B184" s="2"/>
      <c r="C184" s="2"/>
      <c r="D184" s="2"/>
      <c r="E184" s="2"/>
      <c r="F184" s="2"/>
      <c r="G184" s="2"/>
      <c r="H184" s="2"/>
    </row>
    <row r="185" spans="1:8">
      <c r="A185" s="1"/>
      <c r="B185" s="3"/>
      <c r="C185" s="2"/>
      <c r="D185" s="2"/>
      <c r="E185" s="2"/>
      <c r="F185" s="2"/>
      <c r="G185" s="2"/>
      <c r="H185" s="2"/>
    </row>
    <row r="186" spans="1:8">
      <c r="A186" s="1"/>
      <c r="B186" s="2"/>
      <c r="C186" s="2"/>
      <c r="D186" s="2"/>
      <c r="E186" s="2"/>
      <c r="F186" s="2"/>
      <c r="G186" s="2"/>
      <c r="H186" s="2"/>
    </row>
    <row r="187" spans="1:8">
      <c r="A187" s="1"/>
      <c r="B187" s="3"/>
      <c r="C187" s="2"/>
      <c r="D187" s="2"/>
      <c r="E187" s="2"/>
      <c r="F187" s="2"/>
      <c r="G187" s="2"/>
      <c r="H187" s="2"/>
    </row>
    <row r="188" spans="1:8">
      <c r="A188" s="1"/>
      <c r="B188" s="3"/>
      <c r="C188" s="2"/>
      <c r="D188" s="2"/>
      <c r="E188" s="2"/>
      <c r="F188" s="2"/>
      <c r="G188" s="2"/>
      <c r="H188" s="2"/>
    </row>
    <row r="189" spans="1:8">
      <c r="A189" s="1"/>
      <c r="B189" s="2"/>
      <c r="C189" s="2"/>
      <c r="D189" s="2"/>
      <c r="E189" s="2"/>
      <c r="F189" s="2"/>
      <c r="G189" s="2"/>
      <c r="H189" s="2"/>
    </row>
    <row r="190" spans="1:8">
      <c r="A190" s="1"/>
      <c r="B190" s="2"/>
      <c r="C190" s="2"/>
      <c r="D190" s="2"/>
      <c r="E190" s="2"/>
      <c r="F190" s="2"/>
      <c r="G190" s="2"/>
      <c r="H190" s="2"/>
    </row>
    <row r="191" spans="1:8">
      <c r="A191" s="1"/>
      <c r="B191" s="2"/>
      <c r="C191" s="2"/>
      <c r="D191" s="2"/>
      <c r="E191" s="2"/>
      <c r="F191" s="2"/>
      <c r="G191" s="2"/>
      <c r="H191" s="2"/>
    </row>
    <row r="192" spans="1:8">
      <c r="A192" s="1"/>
      <c r="B192" s="3"/>
      <c r="C192" s="2"/>
      <c r="D192" s="2"/>
      <c r="E192" s="2"/>
      <c r="F192" s="2"/>
      <c r="G192" s="2"/>
      <c r="H192" s="2"/>
    </row>
    <row r="193" spans="1:8">
      <c r="A193" s="1"/>
      <c r="B193" s="2"/>
      <c r="C193" s="2"/>
      <c r="D193" s="2"/>
      <c r="E193" s="2"/>
      <c r="F193" s="2"/>
      <c r="G193" s="2"/>
      <c r="H193" s="2"/>
    </row>
    <row r="194" spans="1:8">
      <c r="A194" s="1"/>
      <c r="B194" s="2"/>
      <c r="C194" s="2"/>
      <c r="D194" s="2"/>
      <c r="E194" s="2"/>
      <c r="F194" s="2"/>
      <c r="G194" s="2"/>
      <c r="H194" s="2"/>
    </row>
    <row r="195" spans="1:8">
      <c r="A195" s="1"/>
      <c r="B195" s="3"/>
      <c r="C195" s="2"/>
      <c r="D195" s="2"/>
      <c r="E195" s="2"/>
      <c r="F195" s="2"/>
      <c r="G195" s="2"/>
      <c r="H195" s="2"/>
    </row>
    <row r="196" spans="1:8">
      <c r="A196" s="1"/>
      <c r="B196" s="3"/>
      <c r="C196" s="2"/>
      <c r="D196" s="2"/>
      <c r="E196" s="2"/>
      <c r="F196" s="2"/>
      <c r="G196" s="2"/>
      <c r="H196" s="2"/>
    </row>
    <row r="197" spans="1:8">
      <c r="A197" s="1"/>
      <c r="B197" s="2"/>
      <c r="C197" s="2"/>
      <c r="D197" s="2"/>
      <c r="E197" s="2"/>
      <c r="F197" s="2"/>
      <c r="G197" s="2"/>
      <c r="H197" s="2"/>
    </row>
    <row r="198" spans="1:8">
      <c r="A198" s="1"/>
      <c r="B198" s="3"/>
      <c r="C198" s="2"/>
      <c r="D198" s="2"/>
      <c r="E198" s="2"/>
      <c r="F198" s="2"/>
      <c r="G198" s="2"/>
      <c r="H198" s="2"/>
    </row>
    <row r="199" spans="1:8">
      <c r="A199" s="1"/>
      <c r="B199" s="2"/>
      <c r="C199" s="2"/>
      <c r="D199" s="2"/>
      <c r="E199" s="2"/>
      <c r="F199" s="2"/>
      <c r="G199" s="2"/>
      <c r="H199" s="2"/>
    </row>
    <row r="200" spans="1:8">
      <c r="A200" s="1"/>
      <c r="B200" s="2"/>
      <c r="C200" s="2"/>
      <c r="D200" s="2"/>
      <c r="E200" s="2"/>
      <c r="F200" s="2"/>
      <c r="G200" s="2"/>
      <c r="H200" s="2"/>
    </row>
    <row r="201" spans="1:8">
      <c r="A201" s="1"/>
      <c r="B201" s="3"/>
      <c r="C201" s="2"/>
      <c r="D201" s="2"/>
      <c r="E201" s="2"/>
      <c r="F201" s="2"/>
      <c r="G201" s="2"/>
      <c r="H201" s="2"/>
    </row>
    <row r="202" spans="1:8">
      <c r="A202" s="1"/>
      <c r="B202" s="3"/>
      <c r="C202" s="2"/>
      <c r="D202" s="2"/>
      <c r="E202" s="2"/>
      <c r="F202" s="2"/>
      <c r="G202" s="2"/>
      <c r="H202" s="2"/>
    </row>
    <row r="203" spans="1:8">
      <c r="A203" s="1"/>
      <c r="B203" s="3"/>
      <c r="C203" s="2"/>
      <c r="D203" s="2"/>
      <c r="E203" s="2"/>
      <c r="F203" s="2"/>
      <c r="G203" s="2"/>
      <c r="H203" s="2"/>
    </row>
    <row r="204" spans="1:8">
      <c r="A204" s="1"/>
      <c r="B204" s="2"/>
      <c r="C204" s="2"/>
      <c r="D204" s="2"/>
      <c r="E204" s="2"/>
      <c r="F204" s="2"/>
      <c r="G204" s="2"/>
      <c r="H204" s="2"/>
    </row>
    <row r="205" spans="1:8">
      <c r="A205" s="1"/>
      <c r="B205" s="3"/>
      <c r="C205" s="2"/>
      <c r="D205" s="2"/>
      <c r="E205" s="2"/>
      <c r="F205" s="2"/>
      <c r="G205" s="2"/>
      <c r="H205" s="2"/>
    </row>
    <row r="206" spans="1:8">
      <c r="A206" s="1"/>
      <c r="B206" s="3"/>
      <c r="C206" s="2"/>
      <c r="D206" s="2"/>
      <c r="E206" s="2"/>
      <c r="F206" s="2"/>
      <c r="G206" s="2"/>
      <c r="H206" s="2"/>
    </row>
    <row r="207" spans="1:8">
      <c r="A207" s="1"/>
      <c r="B207" s="2"/>
      <c r="C207" s="2"/>
      <c r="D207" s="2"/>
      <c r="E207" s="2"/>
      <c r="F207" s="2"/>
      <c r="G207" s="2"/>
      <c r="H207" s="2"/>
    </row>
    <row r="208" spans="1:8">
      <c r="A208" s="1"/>
      <c r="B208" s="3"/>
      <c r="C208" s="2"/>
      <c r="D208" s="2"/>
      <c r="E208" s="2"/>
      <c r="F208" s="2"/>
      <c r="G208" s="2"/>
      <c r="H208" s="2"/>
    </row>
    <row r="209" spans="1:8">
      <c r="A209" s="1"/>
      <c r="B209" s="2"/>
      <c r="C209" s="2"/>
      <c r="D209" s="2"/>
      <c r="E209" s="2"/>
      <c r="F209" s="2"/>
      <c r="G209" s="2"/>
      <c r="H209" s="2"/>
    </row>
    <row r="210" spans="1:8">
      <c r="A210" s="1"/>
      <c r="B210" s="2"/>
      <c r="C210" s="2"/>
      <c r="D210" s="2"/>
      <c r="E210" s="2"/>
      <c r="F210" s="2"/>
      <c r="G210" s="2"/>
      <c r="H210" s="2"/>
    </row>
    <row r="211" spans="1:8">
      <c r="A211" s="1"/>
      <c r="B211" s="3"/>
      <c r="C211" s="2"/>
      <c r="D211" s="2"/>
      <c r="E211" s="2"/>
      <c r="F211" s="2"/>
      <c r="G211" s="2"/>
      <c r="H211" s="2"/>
    </row>
    <row r="212" spans="1:8">
      <c r="A212" s="1"/>
      <c r="B212" s="2"/>
      <c r="C212" s="2"/>
      <c r="D212" s="2"/>
      <c r="E212" s="2"/>
      <c r="F212" s="2"/>
      <c r="G212" s="2"/>
      <c r="H212" s="2"/>
    </row>
    <row r="213" spans="1:8">
      <c r="A213" s="1"/>
      <c r="B213" s="3"/>
      <c r="C213" s="2"/>
      <c r="D213" s="2"/>
      <c r="E213" s="2"/>
      <c r="F213" s="2"/>
      <c r="G213" s="2"/>
      <c r="H213" s="2"/>
    </row>
    <row r="214" spans="1:8">
      <c r="A214" s="1"/>
      <c r="B214" s="2"/>
      <c r="C214" s="2"/>
      <c r="D214" s="2"/>
      <c r="E214" s="2"/>
      <c r="F214" s="2"/>
      <c r="G214" s="2"/>
      <c r="H214" s="2"/>
    </row>
    <row r="215" spans="1:8">
      <c r="A215" s="1"/>
      <c r="B215" s="3"/>
      <c r="C215" s="2"/>
      <c r="D215" s="2"/>
      <c r="E215" s="2"/>
      <c r="F215" s="2"/>
      <c r="G215" s="2"/>
      <c r="H215" s="2"/>
    </row>
    <row r="216" spans="1:8">
      <c r="A216" s="1"/>
      <c r="B216" s="2"/>
      <c r="C216" s="2"/>
      <c r="D216" s="2"/>
      <c r="E216" s="2"/>
      <c r="F216" s="2"/>
      <c r="G216" s="2"/>
      <c r="H216" s="2"/>
    </row>
    <row r="217" spans="1:8">
      <c r="A217" s="1"/>
      <c r="B217" s="2"/>
      <c r="C217" s="2"/>
      <c r="D217" s="2"/>
      <c r="E217" s="2"/>
      <c r="F217" s="2"/>
      <c r="G217" s="2"/>
      <c r="H217" s="2"/>
    </row>
    <row r="218" spans="1:8">
      <c r="A218" s="1"/>
      <c r="B218" s="3"/>
      <c r="C218" s="2"/>
      <c r="D218" s="2"/>
      <c r="E218" s="2"/>
      <c r="F218" s="2"/>
      <c r="G218" s="2"/>
      <c r="H218" s="2"/>
    </row>
    <row r="219" spans="1:8">
      <c r="A219" s="1"/>
      <c r="B219" s="2"/>
      <c r="C219" s="2"/>
      <c r="D219" s="2"/>
      <c r="E219" s="2"/>
      <c r="F219" s="2"/>
      <c r="G219" s="2"/>
      <c r="H219" s="2"/>
    </row>
    <row r="220" spans="1:8">
      <c r="A220" s="1"/>
      <c r="B220" s="2"/>
      <c r="C220" s="2"/>
      <c r="D220" s="2"/>
      <c r="E220" s="2"/>
      <c r="F220" s="2"/>
      <c r="G220" s="2"/>
      <c r="H220" s="2"/>
    </row>
    <row r="221" spans="1:8">
      <c r="A221" s="1"/>
      <c r="B221" s="3"/>
      <c r="C221" s="2"/>
      <c r="D221" s="2"/>
      <c r="E221" s="2"/>
      <c r="F221" s="2"/>
      <c r="G221" s="2"/>
      <c r="H221" s="2"/>
    </row>
    <row r="222" spans="1:8">
      <c r="A222" s="1"/>
      <c r="B222" s="2"/>
      <c r="C222" s="2"/>
      <c r="D222" s="2"/>
      <c r="E222" s="2"/>
      <c r="F222" s="2"/>
      <c r="G222" s="2"/>
      <c r="H222" s="2"/>
    </row>
    <row r="223" spans="1:8">
      <c r="A223" s="1"/>
      <c r="B223" s="3"/>
      <c r="C223" s="2"/>
      <c r="D223" s="2"/>
      <c r="E223" s="2"/>
      <c r="F223" s="2"/>
      <c r="G223" s="2"/>
      <c r="H223" s="2"/>
    </row>
    <row r="224" spans="1:8">
      <c r="A224" s="1"/>
      <c r="B224" s="2"/>
      <c r="C224" s="2"/>
      <c r="D224" s="2"/>
      <c r="E224" s="2"/>
      <c r="F224" s="2"/>
      <c r="G224" s="2"/>
      <c r="H224" s="2"/>
    </row>
    <row r="225" spans="1:8">
      <c r="A225" s="1"/>
      <c r="B225" s="2"/>
      <c r="C225" s="2"/>
      <c r="D225" s="2"/>
      <c r="E225" s="2"/>
      <c r="F225" s="2"/>
      <c r="G225" s="2"/>
      <c r="H225" s="2"/>
    </row>
    <row r="226" spans="1:8">
      <c r="A226" s="1"/>
      <c r="B226" s="3"/>
      <c r="C226" s="2"/>
      <c r="D226" s="2"/>
      <c r="E226" s="2"/>
      <c r="F226" s="2"/>
      <c r="G226" s="2"/>
      <c r="H226" s="2"/>
    </row>
    <row r="227" spans="1:8">
      <c r="A227" s="1"/>
      <c r="B227" s="2"/>
      <c r="C227" s="2"/>
      <c r="D227" s="2"/>
      <c r="E227" s="2"/>
      <c r="F227" s="2"/>
      <c r="G227" s="2"/>
      <c r="H227" s="2"/>
    </row>
    <row r="228" spans="1:8">
      <c r="A228" s="1"/>
      <c r="B228" s="3"/>
      <c r="C228" s="2"/>
      <c r="D228" s="2"/>
      <c r="E228" s="2"/>
      <c r="F228" s="2"/>
      <c r="G228" s="2"/>
      <c r="H228" s="2"/>
    </row>
    <row r="229" spans="1:8">
      <c r="A229" s="1"/>
      <c r="B229" s="2"/>
      <c r="C229" s="2"/>
      <c r="D229" s="2"/>
      <c r="E229" s="2"/>
      <c r="F229" s="2"/>
      <c r="G229" s="2"/>
      <c r="H229" s="2"/>
    </row>
    <row r="230" spans="1:8">
      <c r="A230" s="1"/>
      <c r="B230" s="3"/>
      <c r="C230" s="2"/>
      <c r="D230" s="2"/>
      <c r="E230" s="2"/>
      <c r="F230" s="2"/>
      <c r="G230" s="2"/>
      <c r="H230" s="2"/>
    </row>
    <row r="231" spans="1:8">
      <c r="A231" s="1"/>
      <c r="B231" s="3"/>
      <c r="C231" s="2"/>
      <c r="D231" s="2"/>
      <c r="E231" s="2"/>
      <c r="F231" s="2"/>
      <c r="G231" s="2"/>
      <c r="H231" s="2"/>
    </row>
    <row r="232" spans="1:8">
      <c r="A232" s="1"/>
      <c r="B232" s="3"/>
      <c r="C232" s="2"/>
      <c r="D232" s="2"/>
      <c r="E232" s="2"/>
      <c r="F232" s="2"/>
      <c r="G232" s="2"/>
      <c r="H232" s="2"/>
    </row>
    <row r="233" spans="1:8">
      <c r="A233" s="1"/>
      <c r="B233" s="2"/>
      <c r="C233" s="2"/>
      <c r="D233" s="2"/>
      <c r="E233" s="2"/>
      <c r="F233" s="2"/>
      <c r="G233" s="2"/>
      <c r="H233" s="2"/>
    </row>
    <row r="234" spans="1:8">
      <c r="A234" s="1"/>
      <c r="B234" s="2"/>
      <c r="C234" s="2"/>
      <c r="D234" s="2"/>
      <c r="E234" s="2"/>
      <c r="F234" s="2"/>
      <c r="G234" s="2"/>
      <c r="H234" s="2"/>
    </row>
    <row r="235" spans="1:8">
      <c r="A235" s="1"/>
      <c r="B235" s="2"/>
      <c r="C235" s="2"/>
      <c r="D235" s="2"/>
      <c r="E235" s="2"/>
      <c r="F235" s="2"/>
      <c r="G235" s="2"/>
      <c r="H235" s="2"/>
    </row>
    <row r="236" spans="1:8">
      <c r="A236" s="1"/>
      <c r="B236" s="2"/>
      <c r="C236" s="2"/>
      <c r="D236" s="2"/>
      <c r="E236" s="2"/>
      <c r="F236" s="2"/>
      <c r="G236" s="2"/>
      <c r="H236" s="2"/>
    </row>
    <row r="237" spans="1:8">
      <c r="A237" s="1"/>
      <c r="B237" s="2"/>
      <c r="C237" s="2"/>
      <c r="D237" s="2"/>
      <c r="E237" s="2"/>
      <c r="F237" s="2"/>
      <c r="G237" s="2"/>
      <c r="H237" s="2"/>
    </row>
    <row r="238" spans="1:8">
      <c r="A238" s="1"/>
      <c r="B238" s="3"/>
      <c r="C238" s="2"/>
      <c r="D238" s="2"/>
      <c r="E238" s="2"/>
      <c r="F238" s="2"/>
      <c r="G238" s="2"/>
      <c r="H238" s="2"/>
    </row>
    <row r="239" spans="1:8">
      <c r="A239" s="1"/>
      <c r="B239" s="2"/>
      <c r="C239" s="2"/>
      <c r="D239" s="2"/>
      <c r="E239" s="2"/>
      <c r="F239" s="2"/>
      <c r="G239" s="2"/>
      <c r="H239" s="2"/>
    </row>
    <row r="240" spans="1:8">
      <c r="A240" s="1"/>
      <c r="B240" s="2"/>
      <c r="C240" s="2"/>
      <c r="D240" s="2"/>
      <c r="E240" s="2"/>
      <c r="F240" s="2"/>
      <c r="G240" s="2"/>
      <c r="H240" s="2"/>
    </row>
    <row r="241" spans="1:8">
      <c r="A241" s="1"/>
      <c r="B241" s="3"/>
      <c r="C241" s="2"/>
      <c r="D241" s="2"/>
      <c r="E241" s="2"/>
      <c r="F241" s="2"/>
      <c r="G241" s="2"/>
      <c r="H241" s="2"/>
    </row>
    <row r="242" spans="1:8">
      <c r="A242" s="1"/>
      <c r="B242" s="2"/>
      <c r="C242" s="2"/>
      <c r="D242" s="2"/>
      <c r="E242" s="2"/>
      <c r="F242" s="2"/>
      <c r="G242" s="2"/>
      <c r="H242" s="2"/>
    </row>
    <row r="243" spans="1:8">
      <c r="A243" s="1"/>
      <c r="B243" s="2"/>
      <c r="C243" s="2"/>
      <c r="D243" s="2"/>
      <c r="E243" s="2"/>
      <c r="F243" s="2"/>
      <c r="G243" s="2"/>
      <c r="H243" s="2"/>
    </row>
    <row r="244" spans="1:8">
      <c r="A244" s="1"/>
      <c r="B244" s="2"/>
      <c r="C244" s="2"/>
      <c r="D244" s="2"/>
      <c r="E244" s="2"/>
      <c r="F244" s="2"/>
      <c r="G244" s="2"/>
      <c r="H244" s="2"/>
    </row>
    <row r="245" spans="1:8">
      <c r="A245" s="1"/>
      <c r="B245" s="3"/>
      <c r="C245" s="2"/>
      <c r="D245" s="2"/>
      <c r="E245" s="2"/>
      <c r="F245" s="2"/>
      <c r="G245" s="2"/>
      <c r="H245" s="2"/>
    </row>
    <row r="246" spans="1:8">
      <c r="A246" s="1"/>
      <c r="B246" s="3"/>
      <c r="C246" s="2"/>
      <c r="D246" s="2"/>
      <c r="E246" s="2"/>
      <c r="F246" s="2"/>
      <c r="G246" s="2"/>
      <c r="H246" s="2"/>
    </row>
    <row r="247" spans="1:8">
      <c r="A247" s="1"/>
      <c r="B247" s="2"/>
      <c r="C247" s="2"/>
      <c r="D247" s="2"/>
      <c r="E247" s="2"/>
      <c r="F247" s="2"/>
      <c r="G247" s="2"/>
      <c r="H247" s="2"/>
    </row>
    <row r="248" spans="1:8">
      <c r="A248" s="1"/>
      <c r="B248" s="3"/>
      <c r="C248" s="2"/>
      <c r="D248" s="2"/>
      <c r="E248" s="2"/>
      <c r="F248" s="2"/>
      <c r="G248" s="2"/>
      <c r="H248" s="2"/>
    </row>
    <row r="249" spans="1:8">
      <c r="A249" s="1"/>
      <c r="B249" s="2"/>
      <c r="C249" s="2"/>
      <c r="D249" s="2"/>
      <c r="E249" s="2"/>
      <c r="F249" s="2"/>
      <c r="G249" s="2"/>
      <c r="H249" s="2"/>
    </row>
    <row r="250" spans="1:8">
      <c r="A250" s="1"/>
      <c r="B250" s="2"/>
      <c r="C250" s="2"/>
      <c r="D250" s="2"/>
      <c r="E250" s="2"/>
      <c r="F250" s="2"/>
      <c r="G250" s="2"/>
      <c r="H250" s="2"/>
    </row>
    <row r="251" spans="1:8">
      <c r="A251" s="1"/>
      <c r="B251" s="2"/>
      <c r="C251" s="2"/>
      <c r="D251" s="2"/>
      <c r="E251" s="2"/>
      <c r="F251" s="2"/>
      <c r="G251" s="2"/>
      <c r="H251" s="2"/>
    </row>
    <row r="252" spans="1:8">
      <c r="A252" s="1"/>
      <c r="B252" s="3"/>
      <c r="C252" s="2"/>
      <c r="D252" s="2"/>
      <c r="E252" s="2"/>
      <c r="F252" s="2"/>
      <c r="G252" s="2"/>
      <c r="H252" s="2"/>
    </row>
    <row r="253" spans="1:8">
      <c r="A253" s="1"/>
      <c r="B253" s="3"/>
      <c r="C253" s="2"/>
      <c r="D253" s="2"/>
      <c r="E253" s="2"/>
      <c r="F253" s="2"/>
      <c r="G253" s="2"/>
      <c r="H253" s="2"/>
    </row>
    <row r="254" spans="1:8">
      <c r="A254" s="1"/>
      <c r="B254" s="2"/>
      <c r="C254" s="2"/>
      <c r="D254" s="2"/>
      <c r="E254" s="2"/>
      <c r="F254" s="2"/>
      <c r="G254" s="2"/>
      <c r="H254" s="2"/>
    </row>
    <row r="255" spans="1:8">
      <c r="A255" s="1"/>
      <c r="B255" s="2"/>
      <c r="C255" s="2"/>
      <c r="D255" s="2"/>
      <c r="E255" s="2"/>
      <c r="F255" s="2"/>
      <c r="G255" s="2"/>
      <c r="H255" s="2"/>
    </row>
    <row r="256" spans="1:8">
      <c r="A256" s="1"/>
      <c r="B256" s="2"/>
      <c r="C256" s="2"/>
      <c r="D256" s="2"/>
      <c r="E256" s="2"/>
      <c r="F256" s="2"/>
      <c r="G256" s="2"/>
      <c r="H256" s="2"/>
    </row>
    <row r="257" spans="1:8">
      <c r="A257" s="1"/>
      <c r="B257" s="2"/>
      <c r="C257" s="2"/>
      <c r="D257" s="2"/>
      <c r="E257" s="2"/>
      <c r="F257" s="2"/>
      <c r="G257" s="2"/>
      <c r="H257" s="2"/>
    </row>
    <row r="258" spans="1:8">
      <c r="A258" s="1"/>
      <c r="B258" s="2"/>
      <c r="C258" s="2"/>
      <c r="D258" s="2"/>
      <c r="E258" s="2"/>
      <c r="F258" s="2"/>
      <c r="G258" s="2"/>
      <c r="H258" s="2"/>
    </row>
    <row r="259" spans="1:8">
      <c r="A259" s="1"/>
      <c r="B259" s="3"/>
      <c r="C259" s="2"/>
      <c r="D259" s="2"/>
      <c r="E259" s="2"/>
      <c r="F259" s="2"/>
      <c r="G259" s="2"/>
      <c r="H259" s="2"/>
    </row>
    <row r="260" spans="1:8">
      <c r="A260" s="1"/>
      <c r="B260" s="3"/>
      <c r="C260" s="2"/>
      <c r="D260" s="2"/>
      <c r="E260" s="2"/>
      <c r="F260" s="2"/>
      <c r="G260" s="2"/>
      <c r="H260" s="2"/>
    </row>
    <row r="261" spans="1:8">
      <c r="A261" s="1"/>
      <c r="B261" s="3"/>
      <c r="C261" s="2"/>
      <c r="D261" s="2"/>
      <c r="E261" s="2"/>
      <c r="F261" s="2"/>
      <c r="G261" s="2"/>
      <c r="H261" s="2"/>
    </row>
    <row r="262" spans="1:8">
      <c r="A262" s="1"/>
      <c r="B262" s="2"/>
      <c r="C262" s="2"/>
      <c r="D262" s="2"/>
      <c r="E262" s="2"/>
      <c r="F262" s="2"/>
      <c r="G262" s="2"/>
      <c r="H262" s="2"/>
    </row>
    <row r="263" spans="1:8">
      <c r="A263" s="1"/>
      <c r="B263" s="3"/>
      <c r="C263" s="2"/>
      <c r="D263" s="2"/>
      <c r="E263" s="2"/>
      <c r="F263" s="2"/>
      <c r="G263" s="2"/>
      <c r="H263" s="2"/>
    </row>
    <row r="264" spans="1:8">
      <c r="A264" s="1"/>
      <c r="B264" s="2"/>
      <c r="C264" s="2"/>
      <c r="D264" s="2"/>
      <c r="E264" s="2"/>
      <c r="F264" s="2"/>
      <c r="G264" s="2"/>
      <c r="H264" s="2"/>
    </row>
    <row r="265" spans="1:8">
      <c r="A265" s="1"/>
      <c r="B265" s="2"/>
      <c r="C265" s="2"/>
      <c r="D265" s="2"/>
      <c r="E265" s="2"/>
      <c r="F265" s="2"/>
      <c r="G265" s="2"/>
      <c r="H265" s="2"/>
    </row>
    <row r="266" spans="1:8">
      <c r="A266" s="1"/>
      <c r="B266" s="2"/>
      <c r="C266" s="2"/>
      <c r="D266" s="2"/>
      <c r="E266" s="2"/>
      <c r="F266" s="2"/>
      <c r="G266" s="2"/>
      <c r="H266" s="2"/>
    </row>
    <row r="267" spans="1:8">
      <c r="A267" s="1"/>
      <c r="B267" s="2"/>
      <c r="C267" s="2"/>
      <c r="D267" s="2"/>
      <c r="E267" s="2"/>
      <c r="F267" s="2"/>
      <c r="G267" s="2"/>
      <c r="H267" s="2"/>
    </row>
    <row r="268" spans="1:8">
      <c r="A268" s="1"/>
      <c r="B268" s="3"/>
      <c r="C268" s="2"/>
      <c r="D268" s="2"/>
      <c r="E268" s="2"/>
      <c r="F268" s="2"/>
      <c r="G268" s="2"/>
      <c r="H268" s="2"/>
    </row>
    <row r="269" spans="1:8">
      <c r="A269" s="1"/>
      <c r="B269" s="2"/>
      <c r="C269" s="2"/>
      <c r="D269" s="2"/>
      <c r="E269" s="2"/>
      <c r="F269" s="2"/>
      <c r="G269" s="2"/>
      <c r="H269" s="2"/>
    </row>
    <row r="270" spans="1:8">
      <c r="A270" s="1"/>
      <c r="B270" s="3"/>
      <c r="C270" s="2"/>
      <c r="D270" s="2"/>
      <c r="E270" s="2"/>
      <c r="F270" s="2"/>
      <c r="G270" s="2"/>
      <c r="H270" s="2"/>
    </row>
    <row r="271" spans="1:8">
      <c r="A271" s="1"/>
      <c r="B271" s="2"/>
      <c r="C271" s="2"/>
      <c r="D271" s="2"/>
      <c r="E271" s="2"/>
      <c r="F271" s="2"/>
      <c r="G271" s="2"/>
      <c r="H271" s="2"/>
    </row>
    <row r="272" spans="1:8">
      <c r="A272" s="1"/>
      <c r="B272" s="2"/>
      <c r="C272" s="2"/>
      <c r="D272" s="2"/>
      <c r="E272" s="2"/>
      <c r="F272" s="2"/>
      <c r="G272" s="2"/>
      <c r="H272" s="2"/>
    </row>
    <row r="273" spans="1:8">
      <c r="A273" s="1"/>
      <c r="B273" s="2"/>
      <c r="C273" s="2"/>
      <c r="D273" s="2"/>
      <c r="E273" s="2"/>
      <c r="F273" s="2"/>
      <c r="G273" s="2"/>
      <c r="H273" s="2"/>
    </row>
    <row r="274" spans="1:8">
      <c r="A274" s="1"/>
      <c r="B274" s="2"/>
      <c r="C274" s="2"/>
      <c r="D274" s="2"/>
      <c r="E274" s="2"/>
      <c r="F274" s="2"/>
      <c r="G274" s="2"/>
      <c r="H274" s="2"/>
    </row>
    <row r="275" spans="1:8">
      <c r="A275" s="1"/>
      <c r="B275" s="3"/>
      <c r="C275" s="2"/>
      <c r="D275" s="2"/>
      <c r="E275" s="2"/>
      <c r="F275" s="2"/>
      <c r="G275" s="2"/>
      <c r="H275" s="2"/>
    </row>
    <row r="276" spans="1:8">
      <c r="A276" s="1"/>
      <c r="B276" s="3"/>
      <c r="C276" s="2"/>
      <c r="D276" s="2"/>
      <c r="E276" s="2"/>
      <c r="F276" s="2"/>
      <c r="G276" s="2"/>
      <c r="H276" s="2"/>
    </row>
    <row r="277" spans="1:8">
      <c r="A277" s="1"/>
      <c r="B277" s="2"/>
      <c r="C277" s="2"/>
      <c r="D277" s="2"/>
      <c r="E277" s="2"/>
      <c r="F277" s="2"/>
      <c r="G277" s="2"/>
      <c r="H277" s="2"/>
    </row>
    <row r="278" spans="1:8">
      <c r="A278" s="1"/>
      <c r="B278" s="2"/>
      <c r="C278" s="2"/>
      <c r="D278" s="2"/>
      <c r="E278" s="2"/>
      <c r="F278" s="2"/>
      <c r="G278" s="2"/>
      <c r="H278" s="2"/>
    </row>
    <row r="279" spans="1:8">
      <c r="A279" s="1"/>
      <c r="B279" s="2"/>
      <c r="C279" s="2"/>
      <c r="D279" s="2"/>
      <c r="E279" s="2"/>
      <c r="F279" s="2"/>
      <c r="G279" s="2"/>
      <c r="H279" s="2"/>
    </row>
    <row r="280" spans="1:8">
      <c r="A280" s="1"/>
      <c r="B280" s="2"/>
      <c r="C280" s="2"/>
      <c r="D280" s="2"/>
      <c r="E280" s="2"/>
      <c r="F280" s="2"/>
      <c r="G280" s="2"/>
      <c r="H280" s="2"/>
    </row>
    <row r="281" spans="1:8">
      <c r="A281" s="1"/>
      <c r="B281" s="3"/>
      <c r="C281" s="2"/>
      <c r="D281" s="2"/>
      <c r="E281" s="2"/>
      <c r="F281" s="2"/>
      <c r="G281" s="2"/>
      <c r="H281" s="2"/>
    </row>
    <row r="282" spans="1:8">
      <c r="A282" s="1"/>
      <c r="B282" s="2"/>
      <c r="C282" s="2"/>
      <c r="D282" s="2"/>
      <c r="E282" s="2"/>
      <c r="F282" s="2"/>
      <c r="G282" s="2"/>
      <c r="H282" s="2"/>
    </row>
    <row r="283" spans="1:8">
      <c r="A283" s="1"/>
      <c r="B283" s="2"/>
      <c r="C283" s="2"/>
      <c r="D283" s="2"/>
      <c r="E283" s="2"/>
      <c r="F283" s="2"/>
      <c r="G283" s="2"/>
      <c r="H283" s="2"/>
    </row>
    <row r="284" spans="1:8">
      <c r="A284" s="1"/>
      <c r="B284" s="2"/>
      <c r="C284" s="2"/>
      <c r="D284" s="2"/>
      <c r="E284" s="2"/>
      <c r="F284" s="2"/>
      <c r="G284" s="2"/>
      <c r="H284" s="2"/>
    </row>
    <row r="285" spans="1:8">
      <c r="A285" s="1"/>
      <c r="B285" s="2"/>
      <c r="C285" s="2"/>
      <c r="D285" s="2"/>
      <c r="E285" s="2"/>
      <c r="F285" s="2"/>
      <c r="G285" s="2"/>
      <c r="H285" s="2"/>
    </row>
    <row r="286" spans="1:8">
      <c r="A286" s="1"/>
      <c r="B286" s="3"/>
      <c r="C286" s="2"/>
      <c r="D286" s="2"/>
      <c r="E286" s="2"/>
      <c r="F286" s="2"/>
      <c r="G286" s="2"/>
      <c r="H286" s="2"/>
    </row>
    <row r="287" spans="1:8">
      <c r="A287" s="1"/>
      <c r="B287" s="2"/>
      <c r="C287" s="2"/>
      <c r="D287" s="2"/>
      <c r="E287" s="2"/>
      <c r="F287" s="2"/>
      <c r="G287" s="2"/>
      <c r="H287" s="2"/>
    </row>
    <row r="288" spans="1:8">
      <c r="A288" s="1"/>
      <c r="B288" s="3"/>
      <c r="C288" s="2"/>
      <c r="D288" s="2"/>
      <c r="E288" s="2"/>
      <c r="F288" s="2"/>
      <c r="G288" s="2"/>
      <c r="H288" s="2"/>
    </row>
    <row r="289" spans="1:8">
      <c r="A289" s="1"/>
      <c r="B289" s="2"/>
      <c r="C289" s="2"/>
      <c r="D289" s="2"/>
      <c r="E289" s="2"/>
      <c r="F289" s="2"/>
      <c r="G289" s="2"/>
      <c r="H289" s="2"/>
    </row>
    <row r="290" spans="1:8">
      <c r="A290" s="1"/>
      <c r="B290" s="2"/>
      <c r="C290" s="2"/>
      <c r="D290" s="2"/>
      <c r="E290" s="2"/>
      <c r="F290" s="2"/>
      <c r="G290" s="2"/>
      <c r="H290" s="2"/>
    </row>
    <row r="291" spans="1:8">
      <c r="A291" s="1"/>
      <c r="B291" s="2"/>
      <c r="C291" s="2"/>
      <c r="D291" s="2"/>
      <c r="E291" s="2"/>
      <c r="F291" s="2"/>
      <c r="G291" s="2"/>
      <c r="H291" s="2"/>
    </row>
    <row r="292" spans="1:8">
      <c r="A292" s="1"/>
      <c r="B292" s="3"/>
      <c r="C292" s="2"/>
      <c r="D292" s="2"/>
      <c r="E292" s="2"/>
      <c r="F292" s="2"/>
      <c r="G292" s="2"/>
      <c r="H292" s="2"/>
    </row>
    <row r="293" spans="1:8">
      <c r="A293" s="1"/>
      <c r="B293" s="2"/>
      <c r="C293" s="2"/>
      <c r="D293" s="2"/>
      <c r="E293" s="2"/>
      <c r="F293" s="2"/>
      <c r="G293" s="2"/>
      <c r="H293" s="2"/>
    </row>
    <row r="294" spans="1:8">
      <c r="A294" s="1"/>
      <c r="B294" s="2"/>
      <c r="C294" s="2"/>
      <c r="D294" s="2"/>
      <c r="E294" s="2"/>
      <c r="F294" s="2"/>
      <c r="G294" s="2"/>
      <c r="H294" s="2"/>
    </row>
    <row r="295" spans="1:8">
      <c r="A295" s="1"/>
      <c r="B295" s="2"/>
      <c r="C295" s="2"/>
      <c r="D295" s="2"/>
      <c r="E295" s="2"/>
      <c r="F295" s="2"/>
      <c r="G295" s="2"/>
      <c r="H295" s="2"/>
    </row>
    <row r="296" spans="1:8">
      <c r="A296" s="1"/>
      <c r="B296" s="3"/>
      <c r="C296" s="2"/>
      <c r="D296" s="2"/>
      <c r="E296" s="2"/>
      <c r="F296" s="2"/>
      <c r="G296" s="2"/>
      <c r="H296" s="2"/>
    </row>
    <row r="297" spans="1:8">
      <c r="A297" s="1"/>
      <c r="B297" s="2"/>
      <c r="C297" s="2"/>
      <c r="D297" s="2"/>
      <c r="E297" s="2"/>
      <c r="F297" s="2"/>
      <c r="G297" s="2"/>
      <c r="H297" s="2"/>
    </row>
    <row r="298" spans="1:8">
      <c r="A298" s="1"/>
      <c r="B298" s="3"/>
      <c r="C298" s="2"/>
      <c r="D298" s="2"/>
      <c r="E298" s="2"/>
      <c r="F298" s="2"/>
      <c r="G298" s="2"/>
      <c r="H298" s="2"/>
    </row>
    <row r="299" spans="1:8">
      <c r="A299" s="1"/>
      <c r="B299" s="2"/>
      <c r="C299" s="2"/>
      <c r="D299" s="2"/>
      <c r="E299" s="2"/>
      <c r="F299" s="2"/>
      <c r="G299" s="2"/>
      <c r="H299" s="2"/>
    </row>
    <row r="300" spans="1:8">
      <c r="A300" s="1"/>
      <c r="B300" s="2"/>
      <c r="C300" s="2"/>
      <c r="D300" s="2"/>
      <c r="E300" s="2"/>
      <c r="F300" s="2"/>
      <c r="G300" s="2"/>
      <c r="H300" s="2"/>
    </row>
    <row r="301" spans="1:8">
      <c r="A301" s="1"/>
      <c r="B301" s="3"/>
      <c r="C301" s="2"/>
      <c r="D301" s="2"/>
      <c r="E301" s="2"/>
      <c r="F301" s="2"/>
      <c r="G301" s="2"/>
      <c r="H301" s="2"/>
    </row>
    <row r="302" spans="1:8">
      <c r="A302" s="1"/>
      <c r="B302" s="2"/>
      <c r="C302" s="2"/>
      <c r="D302" s="2"/>
      <c r="E302" s="2"/>
      <c r="F302" s="2"/>
      <c r="G302" s="2"/>
      <c r="H302" s="2"/>
    </row>
    <row r="303" spans="1:8">
      <c r="A303" s="1"/>
      <c r="B303" s="2"/>
      <c r="C303" s="2"/>
      <c r="D303" s="2"/>
      <c r="E303" s="2"/>
      <c r="F303" s="2"/>
      <c r="G303" s="2"/>
      <c r="H303" s="2"/>
    </row>
    <row r="304" spans="1:8">
      <c r="A304" s="1"/>
      <c r="B304" s="3"/>
      <c r="C304" s="2"/>
      <c r="D304" s="2"/>
      <c r="E304" s="2"/>
      <c r="F304" s="2"/>
      <c r="G304" s="2"/>
      <c r="H304" s="2"/>
    </row>
    <row r="305" spans="1:8">
      <c r="A305" s="1"/>
      <c r="B305" s="2"/>
      <c r="C305" s="2"/>
      <c r="D305" s="2"/>
      <c r="E305" s="2"/>
      <c r="F305" s="2"/>
      <c r="G305" s="2"/>
      <c r="H305" s="2"/>
    </row>
    <row r="306" spans="1:8">
      <c r="A306" s="1"/>
      <c r="B306" s="2"/>
      <c r="C306" s="2"/>
      <c r="D306" s="2"/>
      <c r="E306" s="2"/>
      <c r="F306" s="2"/>
      <c r="G306" s="2"/>
      <c r="H306" s="2"/>
    </row>
    <row r="307" spans="1:8">
      <c r="A307" s="1"/>
      <c r="B307" s="2"/>
      <c r="C307" s="2"/>
      <c r="D307" s="2"/>
      <c r="E307" s="2"/>
      <c r="F307" s="2"/>
      <c r="G307" s="2"/>
      <c r="H307" s="2"/>
    </row>
    <row r="308" spans="1:8">
      <c r="A308" s="1"/>
      <c r="B308" s="2"/>
      <c r="C308" s="2"/>
      <c r="D308" s="2"/>
      <c r="E308" s="2"/>
      <c r="F308" s="2"/>
      <c r="G308" s="2"/>
      <c r="H308" s="2"/>
    </row>
    <row r="309" spans="1:8">
      <c r="A309" s="1"/>
      <c r="B309" s="3"/>
      <c r="C309" s="2"/>
      <c r="D309" s="2"/>
      <c r="E309" s="2"/>
      <c r="F309" s="2"/>
      <c r="G309" s="2"/>
      <c r="H309" s="2"/>
    </row>
    <row r="310" spans="1:8">
      <c r="A310" s="1"/>
      <c r="B310" s="3"/>
      <c r="C310" s="2"/>
      <c r="D310" s="2"/>
      <c r="E310" s="2"/>
      <c r="F310" s="2"/>
      <c r="G310" s="2"/>
      <c r="H310" s="2"/>
    </row>
    <row r="311" spans="1:8">
      <c r="A311" s="1"/>
      <c r="B311" s="2"/>
      <c r="C311" s="2"/>
      <c r="D311" s="2"/>
      <c r="E311" s="2"/>
      <c r="F311" s="2"/>
      <c r="G311" s="2"/>
      <c r="H311" s="2"/>
    </row>
    <row r="312" spans="1:8">
      <c r="A312" s="1"/>
      <c r="B312" s="2"/>
      <c r="C312" s="2"/>
      <c r="D312" s="2"/>
      <c r="E312" s="2"/>
      <c r="F312" s="2"/>
      <c r="G312" s="2"/>
      <c r="H312" s="2"/>
    </row>
    <row r="313" spans="1:8">
      <c r="A313" s="1"/>
      <c r="B313" s="2"/>
      <c r="C313" s="2"/>
      <c r="D313" s="2"/>
      <c r="E313" s="2"/>
      <c r="F313" s="2"/>
      <c r="G313" s="2"/>
      <c r="H313" s="2"/>
    </row>
    <row r="314" spans="1:8">
      <c r="A314" s="1"/>
      <c r="B314" s="2"/>
      <c r="C314" s="2"/>
      <c r="D314" s="2"/>
      <c r="E314" s="2"/>
      <c r="F314" s="2"/>
      <c r="G314" s="2"/>
      <c r="H314" s="2"/>
    </row>
    <row r="315" spans="1:8">
      <c r="A315" s="1"/>
      <c r="B315" s="3"/>
      <c r="C315" s="2"/>
      <c r="D315" s="2"/>
      <c r="E315" s="2"/>
      <c r="F315" s="2"/>
      <c r="G315" s="2"/>
      <c r="H315" s="2"/>
    </row>
    <row r="316" spans="1:8">
      <c r="A316" s="1"/>
      <c r="B316" s="3"/>
      <c r="C316" s="2"/>
      <c r="D316" s="2"/>
      <c r="E316" s="2"/>
      <c r="F316" s="2"/>
      <c r="G316" s="2"/>
      <c r="H316" s="2"/>
    </row>
    <row r="317" spans="1:8">
      <c r="A317" s="1"/>
      <c r="B317" s="3"/>
      <c r="C317" s="2"/>
      <c r="D317" s="2"/>
      <c r="E317" s="2"/>
      <c r="F317" s="2"/>
      <c r="G317" s="2"/>
      <c r="H317" s="2"/>
    </row>
    <row r="318" spans="1:8">
      <c r="A318" s="1"/>
      <c r="B318" s="2"/>
      <c r="C318" s="2"/>
      <c r="D318" s="2"/>
      <c r="E318" s="2"/>
      <c r="F318" s="2"/>
      <c r="G318" s="2"/>
      <c r="H318" s="2"/>
    </row>
    <row r="319" spans="1:8">
      <c r="A319" s="1"/>
      <c r="B319" s="2"/>
      <c r="C319" s="2"/>
      <c r="D319" s="2"/>
      <c r="E319" s="2"/>
      <c r="F319" s="2"/>
      <c r="G319" s="2"/>
      <c r="H319" s="2"/>
    </row>
    <row r="320" spans="1:8">
      <c r="A320" s="1"/>
      <c r="B320" s="3"/>
      <c r="C320" s="2"/>
      <c r="D320" s="2"/>
      <c r="E320" s="2"/>
      <c r="F320" s="2"/>
      <c r="G320" s="2"/>
      <c r="H320" s="2"/>
    </row>
    <row r="321" spans="1:8">
      <c r="A321" s="1"/>
      <c r="B321" s="2"/>
      <c r="C321" s="2"/>
      <c r="D321" s="2"/>
      <c r="E321" s="2"/>
      <c r="F321" s="2"/>
      <c r="G321" s="2"/>
      <c r="H321" s="2"/>
    </row>
    <row r="322" spans="1:8">
      <c r="A322" s="1"/>
      <c r="B322" s="2"/>
      <c r="C322" s="2"/>
      <c r="D322" s="2"/>
      <c r="E322" s="2"/>
      <c r="F322" s="2"/>
      <c r="G322" s="2"/>
      <c r="H322" s="2"/>
    </row>
    <row r="323" spans="1:8">
      <c r="A323" s="1"/>
      <c r="B323" s="3"/>
      <c r="C323" s="2"/>
      <c r="D323" s="2"/>
      <c r="E323" s="2"/>
      <c r="F323" s="2"/>
      <c r="G323" s="2"/>
      <c r="H323" s="2"/>
    </row>
    <row r="324" spans="1:8">
      <c r="A324" s="1"/>
      <c r="B324" s="3"/>
      <c r="C324" s="2"/>
      <c r="D324" s="2"/>
      <c r="E324" s="2"/>
      <c r="F324" s="2"/>
      <c r="G324" s="2"/>
      <c r="H324" s="2"/>
    </row>
    <row r="325" spans="1:8">
      <c r="A325" s="1"/>
      <c r="B325" s="2"/>
      <c r="C325" s="2"/>
      <c r="D325" s="2"/>
      <c r="E325" s="2"/>
      <c r="F325" s="2"/>
      <c r="G325" s="2"/>
      <c r="H325" s="2"/>
    </row>
    <row r="326" spans="1:8">
      <c r="A326" s="1"/>
      <c r="B326" s="3"/>
      <c r="C326" s="2"/>
      <c r="D326" s="2"/>
      <c r="E326" s="2"/>
      <c r="F326" s="2"/>
      <c r="G326" s="2"/>
      <c r="H326" s="2"/>
    </row>
    <row r="327" spans="1:8">
      <c r="A327" s="1"/>
      <c r="B327" s="2"/>
      <c r="C327" s="2"/>
      <c r="D327" s="2"/>
      <c r="E327" s="2"/>
      <c r="F327" s="2"/>
      <c r="G327" s="2"/>
      <c r="H327" s="2"/>
    </row>
    <row r="328" spans="1:8">
      <c r="A328" s="1"/>
      <c r="B328" s="3"/>
      <c r="C328" s="2"/>
      <c r="D328" s="2"/>
      <c r="E328" s="2"/>
      <c r="F328" s="2"/>
      <c r="G328" s="2"/>
      <c r="H328" s="2"/>
    </row>
    <row r="329" spans="1:8">
      <c r="A329" s="1"/>
      <c r="B329" s="2"/>
      <c r="C329" s="2"/>
      <c r="D329" s="2"/>
      <c r="E329" s="2"/>
      <c r="F329" s="2"/>
      <c r="G329" s="2"/>
      <c r="H329" s="2"/>
    </row>
    <row r="330" spans="1:8">
      <c r="A330" s="1"/>
      <c r="B330" s="3"/>
      <c r="C330" s="2"/>
      <c r="D330" s="2"/>
      <c r="E330" s="2"/>
      <c r="F330" s="2"/>
      <c r="G330" s="2"/>
      <c r="H330" s="2"/>
    </row>
    <row r="331" spans="1:8">
      <c r="A331" s="1"/>
      <c r="B331" s="2"/>
      <c r="C331" s="2"/>
      <c r="D331" s="2"/>
      <c r="E331" s="2"/>
      <c r="F331" s="2"/>
      <c r="G331" s="2"/>
      <c r="H331" s="2"/>
    </row>
    <row r="332" spans="1:8">
      <c r="A332" s="1"/>
      <c r="B332" s="2"/>
      <c r="C332" s="2"/>
      <c r="D332" s="2"/>
      <c r="E332" s="2"/>
      <c r="F332" s="2"/>
      <c r="G332" s="2"/>
      <c r="H332" s="2"/>
    </row>
    <row r="333" spans="1:8">
      <c r="A333" s="1"/>
      <c r="B333" s="2"/>
      <c r="C333" s="2"/>
      <c r="D333" s="2"/>
      <c r="E333" s="2"/>
      <c r="F333" s="2"/>
      <c r="G333" s="2"/>
      <c r="H333" s="2"/>
    </row>
    <row r="334" spans="1:8">
      <c r="A334" s="1"/>
      <c r="B334" s="3"/>
      <c r="C334" s="2"/>
      <c r="D334" s="2"/>
      <c r="E334" s="2"/>
      <c r="F334" s="2"/>
      <c r="G334" s="2"/>
      <c r="H334" s="2"/>
    </row>
    <row r="335" spans="1:8">
      <c r="A335" s="1"/>
      <c r="B335" s="2"/>
      <c r="C335" s="2"/>
      <c r="D335" s="2"/>
      <c r="E335" s="2"/>
      <c r="F335" s="2"/>
      <c r="G335" s="2"/>
      <c r="H335" s="2"/>
    </row>
    <row r="336" spans="1:8">
      <c r="A336" s="1"/>
      <c r="B336" s="3"/>
      <c r="C336" s="2"/>
      <c r="D336" s="2"/>
      <c r="E336" s="2"/>
      <c r="F336" s="2"/>
      <c r="G336" s="2"/>
      <c r="H336" s="2"/>
    </row>
    <row r="337" spans="1:8">
      <c r="A337" s="1"/>
      <c r="B337" s="3"/>
      <c r="C337" s="2"/>
      <c r="D337" s="2"/>
      <c r="E337" s="2"/>
      <c r="F337" s="2"/>
      <c r="G337" s="2"/>
      <c r="H337" s="2"/>
    </row>
    <row r="338" spans="1:8">
      <c r="A338" s="1"/>
      <c r="B338" s="3"/>
      <c r="C338" s="2"/>
      <c r="D338" s="2"/>
      <c r="E338" s="2"/>
      <c r="F338" s="2"/>
      <c r="G338" s="2"/>
      <c r="H338" s="2"/>
    </row>
    <row r="339" spans="1:8">
      <c r="A339" s="1"/>
      <c r="B339" s="2"/>
      <c r="C339" s="2"/>
      <c r="D339" s="2"/>
      <c r="E339" s="2"/>
      <c r="F339" s="2"/>
      <c r="G339" s="2"/>
      <c r="H339" s="2"/>
    </row>
    <row r="340" spans="1:8">
      <c r="A340" s="1"/>
      <c r="B340" s="2"/>
      <c r="C340" s="2"/>
      <c r="D340" s="2"/>
      <c r="E340" s="2"/>
      <c r="F340" s="2"/>
      <c r="G340" s="2"/>
      <c r="H340" s="2"/>
    </row>
    <row r="341" spans="1:8">
      <c r="A341" s="1"/>
      <c r="B341" s="2"/>
      <c r="C341" s="2"/>
      <c r="D341" s="2"/>
      <c r="E341" s="2"/>
      <c r="F341" s="2"/>
      <c r="G341" s="2"/>
      <c r="H341" s="2"/>
    </row>
    <row r="342" spans="1:8">
      <c r="A342" s="1"/>
      <c r="B342" s="3"/>
      <c r="C342" s="2"/>
      <c r="D342" s="2"/>
      <c r="E342" s="2"/>
      <c r="F342" s="2"/>
      <c r="G342" s="2"/>
      <c r="H342" s="2"/>
    </row>
    <row r="343" spans="1:8">
      <c r="A343" s="1"/>
      <c r="B343" s="3"/>
      <c r="C343" s="2"/>
      <c r="D343" s="2"/>
      <c r="E343" s="2"/>
      <c r="F343" s="2"/>
      <c r="G343" s="2"/>
      <c r="H343" s="2"/>
    </row>
    <row r="344" spans="1:8">
      <c r="A344" s="1"/>
      <c r="B344" s="2"/>
      <c r="C344" s="2"/>
      <c r="D344" s="2"/>
      <c r="E344" s="2"/>
      <c r="F344" s="2"/>
      <c r="G344" s="2"/>
      <c r="H344" s="2"/>
    </row>
    <row r="345" spans="1:8">
      <c r="A345" s="1"/>
      <c r="B345" s="3"/>
      <c r="C345" s="2"/>
      <c r="D345" s="2"/>
      <c r="E345" s="2"/>
      <c r="F345" s="2"/>
      <c r="G345" s="2"/>
      <c r="H345" s="2"/>
    </row>
    <row r="346" spans="1:8">
      <c r="A346" s="1"/>
      <c r="B346" s="2"/>
      <c r="C346" s="2"/>
      <c r="D346" s="2"/>
      <c r="E346" s="2"/>
      <c r="F346" s="2"/>
      <c r="G346" s="2"/>
      <c r="H346" s="2"/>
    </row>
    <row r="347" spans="1:8">
      <c r="A347" s="1"/>
      <c r="B347" s="3"/>
      <c r="C347" s="2"/>
      <c r="D347" s="2"/>
      <c r="E347" s="2"/>
      <c r="F347" s="2"/>
      <c r="G347" s="2"/>
      <c r="H347" s="2"/>
    </row>
    <row r="348" spans="1:8">
      <c r="A348" s="1"/>
      <c r="B348" s="3"/>
      <c r="C348" s="2"/>
      <c r="D348" s="2"/>
      <c r="E348" s="2"/>
      <c r="F348" s="2"/>
      <c r="G348" s="2"/>
      <c r="H348" s="2"/>
    </row>
    <row r="349" spans="1:8">
      <c r="A349" s="1"/>
      <c r="B349" s="3"/>
      <c r="C349" s="2"/>
      <c r="D349" s="2"/>
      <c r="E349" s="2"/>
      <c r="F349" s="2"/>
      <c r="G349" s="2"/>
      <c r="H349" s="2"/>
    </row>
    <row r="350" spans="1:8">
      <c r="A350" s="1"/>
      <c r="B350" s="3"/>
      <c r="C350" s="2"/>
      <c r="D350" s="2"/>
      <c r="E350" s="2"/>
      <c r="F350" s="2"/>
      <c r="G350" s="2"/>
      <c r="H350" s="2"/>
    </row>
    <row r="351" spans="1:8">
      <c r="A351" s="1"/>
      <c r="B351" s="2"/>
      <c r="C351" s="2"/>
      <c r="D351" s="2"/>
      <c r="E351" s="2"/>
      <c r="F351" s="2"/>
      <c r="G351" s="2"/>
      <c r="H351" s="2"/>
    </row>
    <row r="352" spans="1:8">
      <c r="A352" s="1"/>
      <c r="B352" s="3"/>
      <c r="C352" s="2"/>
      <c r="D352" s="2"/>
      <c r="E352" s="2"/>
      <c r="F352" s="2"/>
      <c r="G352" s="2"/>
      <c r="H352" s="2"/>
    </row>
    <row r="353" spans="1:8">
      <c r="A353" s="1"/>
      <c r="B353" s="2"/>
      <c r="C353" s="2"/>
      <c r="D353" s="2"/>
      <c r="E353" s="2"/>
      <c r="F353" s="2"/>
      <c r="G353" s="2"/>
      <c r="H353" s="2"/>
    </row>
    <row r="354" spans="1:8">
      <c r="A354" s="1"/>
      <c r="B354" s="2"/>
      <c r="C354" s="2"/>
      <c r="D354" s="2"/>
      <c r="E354" s="2"/>
      <c r="F354" s="2"/>
      <c r="G354" s="2"/>
      <c r="H354" s="2"/>
    </row>
    <row r="355" spans="1:8">
      <c r="A355" s="1"/>
      <c r="B355" s="3"/>
      <c r="C355" s="2"/>
      <c r="D355" s="2"/>
      <c r="E355" s="2"/>
      <c r="F355" s="2"/>
      <c r="G355" s="2"/>
      <c r="H355" s="2"/>
    </row>
    <row r="356" spans="1:8">
      <c r="A356" s="1"/>
      <c r="B356" s="2"/>
      <c r="C356" s="2"/>
      <c r="D356" s="2"/>
      <c r="E356" s="2"/>
      <c r="F356" s="2"/>
      <c r="G356" s="2"/>
      <c r="H356" s="2"/>
    </row>
    <row r="357" spans="1:8">
      <c r="A357" s="1"/>
      <c r="B357" s="2"/>
      <c r="C357" s="2"/>
      <c r="D357" s="2"/>
      <c r="E357" s="2"/>
      <c r="F357" s="2"/>
      <c r="G357" s="2"/>
      <c r="H357" s="2"/>
    </row>
    <row r="358" spans="1:8">
      <c r="A358" s="1"/>
      <c r="B358" s="2"/>
      <c r="C358" s="2"/>
      <c r="D358" s="2"/>
      <c r="E358" s="2"/>
      <c r="F358" s="2"/>
      <c r="G358" s="2"/>
      <c r="H358" s="2"/>
    </row>
    <row r="359" spans="1:8">
      <c r="A359" s="1"/>
      <c r="B359" s="2"/>
      <c r="C359" s="2"/>
      <c r="D359" s="2"/>
      <c r="E359" s="2"/>
      <c r="F359" s="2"/>
      <c r="G359" s="2"/>
      <c r="H359" s="2"/>
    </row>
    <row r="360" spans="1:8">
      <c r="A360" s="1"/>
      <c r="B360" s="3"/>
      <c r="C360" s="2"/>
      <c r="D360" s="2"/>
      <c r="E360" s="2"/>
      <c r="F360" s="2"/>
      <c r="G360" s="2"/>
      <c r="H360" s="2"/>
    </row>
    <row r="361" spans="1:8">
      <c r="A361" s="1"/>
      <c r="B361" s="2"/>
      <c r="C361" s="2"/>
      <c r="D361" s="2"/>
      <c r="E361" s="2"/>
      <c r="F361" s="2"/>
      <c r="G361" s="2"/>
      <c r="H361" s="2"/>
    </row>
    <row r="362" spans="1:8">
      <c r="A362" s="1"/>
      <c r="B362" s="2"/>
      <c r="C362" s="2"/>
      <c r="D362" s="2"/>
      <c r="E362" s="2"/>
      <c r="F362" s="2"/>
      <c r="G362" s="2"/>
      <c r="H362" s="2"/>
    </row>
    <row r="363" spans="1:8">
      <c r="A363" s="1"/>
      <c r="B363" s="2"/>
      <c r="C363" s="2"/>
      <c r="D363" s="2"/>
      <c r="E363" s="2"/>
      <c r="F363" s="2"/>
      <c r="G363" s="2"/>
      <c r="H363" s="2"/>
    </row>
    <row r="364" spans="1:8">
      <c r="A364" s="1"/>
      <c r="B364" s="2"/>
      <c r="C364" s="2"/>
      <c r="D364" s="2"/>
      <c r="E364" s="2"/>
      <c r="F364" s="2"/>
      <c r="G364" s="2"/>
      <c r="H364" s="2"/>
    </row>
    <row r="365" spans="1:8">
      <c r="A365" s="1"/>
      <c r="B365" s="3"/>
      <c r="C365" s="2"/>
      <c r="D365" s="2"/>
      <c r="E365" s="2"/>
      <c r="F365" s="2"/>
      <c r="G365" s="2"/>
      <c r="H365" s="2"/>
    </row>
    <row r="366" spans="1:8">
      <c r="A366" s="1"/>
      <c r="B366" s="3"/>
      <c r="C366" s="2"/>
      <c r="D366" s="2"/>
      <c r="E366" s="2"/>
      <c r="F366" s="2"/>
      <c r="G366" s="2"/>
      <c r="H366" s="2"/>
    </row>
    <row r="367" spans="1:8">
      <c r="A367" s="1"/>
      <c r="B367" s="2"/>
      <c r="C367" s="2"/>
      <c r="D367" s="2"/>
      <c r="E367" s="2"/>
      <c r="F367" s="2"/>
      <c r="G367" s="2"/>
      <c r="H367" s="2"/>
    </row>
    <row r="368" spans="1:8">
      <c r="A368" s="1"/>
      <c r="B368" s="2"/>
      <c r="C368" s="2"/>
      <c r="D368" s="2"/>
      <c r="E368" s="2"/>
      <c r="F368" s="2"/>
      <c r="G368" s="2"/>
      <c r="H368" s="2"/>
    </row>
    <row r="369" spans="1:8">
      <c r="A369" s="1"/>
      <c r="B369" s="2"/>
      <c r="C369" s="2"/>
      <c r="D369" s="2"/>
      <c r="E369" s="2"/>
      <c r="F369" s="2"/>
      <c r="G369" s="2"/>
      <c r="H369" s="2"/>
    </row>
    <row r="370" spans="1:8">
      <c r="A370" s="1"/>
      <c r="B370" s="3"/>
      <c r="C370" s="2"/>
      <c r="D370" s="2"/>
      <c r="E370" s="2"/>
      <c r="F370" s="2"/>
      <c r="G370" s="2"/>
      <c r="H370" s="2"/>
    </row>
    <row r="371" spans="1:8">
      <c r="A371" s="1"/>
      <c r="B371" s="2"/>
      <c r="C371" s="2"/>
      <c r="D371" s="2"/>
      <c r="E371" s="2"/>
      <c r="F371" s="2"/>
      <c r="G371" s="2"/>
      <c r="H371" s="2"/>
    </row>
    <row r="372" spans="1:8">
      <c r="A372" s="1"/>
      <c r="B372" s="2"/>
      <c r="C372" s="2"/>
      <c r="D372" s="2"/>
      <c r="E372" s="2"/>
      <c r="F372" s="2"/>
      <c r="G372" s="2"/>
      <c r="H372" s="2"/>
    </row>
    <row r="373" spans="1:8">
      <c r="A373" s="1"/>
      <c r="B373" s="2"/>
      <c r="C373" s="2"/>
      <c r="D373" s="2"/>
      <c r="E373" s="2"/>
      <c r="F373" s="2"/>
      <c r="G373" s="2"/>
      <c r="H373" s="2"/>
    </row>
    <row r="374" spans="1:8">
      <c r="A374" s="1"/>
      <c r="B374" s="2"/>
      <c r="C374" s="2"/>
      <c r="D374" s="2"/>
      <c r="E374" s="2"/>
      <c r="F374" s="2"/>
      <c r="G374" s="2"/>
      <c r="H374" s="2"/>
    </row>
    <row r="375" spans="1:8">
      <c r="A375" s="1"/>
      <c r="B375" s="2"/>
      <c r="C375" s="2"/>
      <c r="D375" s="2"/>
      <c r="E375" s="2"/>
      <c r="F375" s="2"/>
      <c r="G375" s="2"/>
      <c r="H375" s="2"/>
    </row>
    <row r="376" spans="1:8">
      <c r="A376" s="1"/>
      <c r="B376" s="2"/>
      <c r="C376" s="2"/>
      <c r="D376" s="2"/>
      <c r="E376" s="2"/>
      <c r="F376" s="2"/>
      <c r="G376" s="2"/>
      <c r="H376" s="2"/>
    </row>
    <row r="377" spans="1:8">
      <c r="A377" s="1"/>
      <c r="B377" s="2"/>
      <c r="C377" s="2"/>
      <c r="D377" s="2"/>
      <c r="E377" s="2"/>
      <c r="F377" s="2"/>
      <c r="G377" s="2"/>
      <c r="H377" s="2"/>
    </row>
    <row r="378" spans="1:8">
      <c r="A378" s="1"/>
      <c r="B378" s="3"/>
      <c r="C378" s="2"/>
      <c r="D378" s="2"/>
      <c r="E378" s="2"/>
      <c r="F378" s="2"/>
      <c r="G378" s="2"/>
      <c r="H378" s="2"/>
    </row>
    <row r="379" spans="1:8">
      <c r="A379" s="1"/>
      <c r="B379" s="3"/>
      <c r="C379" s="2"/>
      <c r="D379" s="2"/>
      <c r="E379" s="2"/>
      <c r="F379" s="2"/>
      <c r="G379" s="2"/>
      <c r="H379" s="2"/>
    </row>
    <row r="380" spans="1:8">
      <c r="A380" s="1"/>
      <c r="B380" s="2"/>
      <c r="C380" s="2"/>
      <c r="D380" s="2"/>
      <c r="E380" s="2"/>
      <c r="F380" s="2"/>
      <c r="G380" s="2"/>
      <c r="H380" s="2"/>
    </row>
    <row r="381" spans="1:8">
      <c r="A381" s="1"/>
      <c r="B381" s="2"/>
      <c r="C381" s="2"/>
      <c r="D381" s="2"/>
      <c r="E381" s="2"/>
      <c r="F381" s="2"/>
      <c r="G381" s="2"/>
      <c r="H381" s="2"/>
    </row>
    <row r="382" spans="1:8">
      <c r="A382" s="1"/>
      <c r="B382" s="2"/>
      <c r="C382" s="2"/>
      <c r="D382" s="2"/>
      <c r="E382" s="2"/>
      <c r="F382" s="2"/>
      <c r="G382" s="2"/>
      <c r="H382" s="2"/>
    </row>
    <row r="383" spans="1:8">
      <c r="A383" s="1"/>
      <c r="B383" s="2"/>
      <c r="C383" s="2"/>
      <c r="D383" s="2"/>
      <c r="E383" s="2"/>
      <c r="F383" s="2"/>
      <c r="G383" s="2"/>
      <c r="H383" s="2"/>
    </row>
    <row r="384" spans="1:8">
      <c r="A384" s="1"/>
      <c r="B384" s="2"/>
      <c r="C384" s="2"/>
      <c r="D384" s="2"/>
      <c r="E384" s="2"/>
      <c r="F384" s="2"/>
      <c r="G384" s="2"/>
      <c r="H384" s="2"/>
    </row>
    <row r="385" spans="1:8">
      <c r="A385" s="1"/>
      <c r="B385" s="2"/>
      <c r="C385" s="2"/>
      <c r="D385" s="2"/>
      <c r="E385" s="2"/>
      <c r="F385" s="2"/>
      <c r="G385" s="2"/>
      <c r="H385" s="2"/>
    </row>
    <row r="386" spans="1:8">
      <c r="A386" s="1"/>
      <c r="B386" s="2"/>
      <c r="C386" s="2"/>
      <c r="D386" s="2"/>
      <c r="E386" s="2"/>
      <c r="F386" s="2"/>
      <c r="G386" s="2"/>
      <c r="H386" s="2"/>
    </row>
    <row r="387" spans="1:8">
      <c r="A387" s="1"/>
      <c r="B387" s="3"/>
      <c r="C387" s="2"/>
      <c r="D387" s="2"/>
      <c r="E387" s="2"/>
      <c r="F387" s="2"/>
      <c r="G387" s="2"/>
      <c r="H387" s="2"/>
    </row>
    <row r="388" spans="1:8">
      <c r="A388" s="1"/>
      <c r="B388" s="2"/>
      <c r="C388" s="2"/>
      <c r="D388" s="2"/>
      <c r="E388" s="2"/>
      <c r="F388" s="2"/>
      <c r="G388" s="2"/>
      <c r="H388" s="2"/>
    </row>
    <row r="389" spans="1:8">
      <c r="A389" s="1"/>
      <c r="B389" s="3"/>
      <c r="C389" s="2"/>
      <c r="D389" s="2"/>
      <c r="E389" s="2"/>
      <c r="F389" s="2"/>
      <c r="G389" s="2"/>
      <c r="H389" s="2"/>
    </row>
    <row r="390" spans="1:8">
      <c r="A390" s="1"/>
      <c r="B390" s="2"/>
      <c r="C390" s="2"/>
      <c r="D390" s="2"/>
      <c r="E390" s="2"/>
      <c r="F390" s="2"/>
      <c r="G390" s="2"/>
      <c r="H390" s="2"/>
    </row>
    <row r="391" spans="1:8">
      <c r="A391" s="1"/>
      <c r="B391" s="2"/>
      <c r="C391" s="2"/>
      <c r="D391" s="2"/>
      <c r="E391" s="2"/>
      <c r="F391" s="2"/>
      <c r="G391" s="2"/>
      <c r="H391" s="2"/>
    </row>
    <row r="392" spans="1:8">
      <c r="A392" s="1"/>
      <c r="B392" s="2"/>
      <c r="C392" s="2"/>
      <c r="D392" s="2"/>
      <c r="E392" s="2"/>
      <c r="F392" s="2"/>
      <c r="G392" s="2"/>
      <c r="H392" s="2"/>
    </row>
    <row r="393" spans="1:8">
      <c r="A393" s="1"/>
      <c r="B393" s="3"/>
      <c r="C393" s="2"/>
      <c r="D393" s="2"/>
      <c r="E393" s="2"/>
      <c r="F393" s="2"/>
      <c r="G393" s="2"/>
      <c r="H393" s="2"/>
    </row>
    <row r="394" spans="1:8">
      <c r="A394" s="1"/>
      <c r="B394" s="3"/>
      <c r="C394" s="2"/>
      <c r="D394" s="2"/>
      <c r="E394" s="2"/>
      <c r="F394" s="2"/>
      <c r="G394" s="2"/>
      <c r="H394" s="2"/>
    </row>
    <row r="395" spans="1:8">
      <c r="A395" s="1"/>
      <c r="B395" s="2"/>
      <c r="C395" s="2"/>
      <c r="D395" s="2"/>
      <c r="E395" s="2"/>
      <c r="F395" s="2"/>
      <c r="G395" s="2"/>
      <c r="H395" s="2"/>
    </row>
    <row r="396" spans="1:8">
      <c r="A396" s="1"/>
      <c r="B396" s="2"/>
      <c r="C396" s="2"/>
      <c r="D396" s="2"/>
      <c r="E396" s="2"/>
      <c r="F396" s="2"/>
      <c r="G396" s="2"/>
      <c r="H396" s="2"/>
    </row>
    <row r="397" spans="1:8">
      <c r="A397" s="1"/>
      <c r="B397" s="3"/>
      <c r="C397" s="2"/>
      <c r="D397" s="2"/>
      <c r="E397" s="2"/>
      <c r="F397" s="2"/>
      <c r="G397" s="2"/>
      <c r="H397" s="2"/>
    </row>
    <row r="398" spans="1:8">
      <c r="A398" s="1"/>
      <c r="B398" s="2"/>
      <c r="C398" s="2"/>
      <c r="D398" s="2"/>
      <c r="E398" s="2"/>
      <c r="F398" s="2"/>
      <c r="G398" s="2"/>
      <c r="H398" s="2"/>
    </row>
    <row r="399" spans="1:8">
      <c r="A399" s="1"/>
      <c r="B399" s="3"/>
      <c r="C399" s="2"/>
      <c r="D399" s="2"/>
      <c r="E399" s="2"/>
      <c r="F399" s="2"/>
      <c r="G399" s="2"/>
      <c r="H399" s="2"/>
    </row>
    <row r="400" spans="1:8">
      <c r="A400" s="1"/>
      <c r="B400" s="3"/>
      <c r="C400" s="2"/>
      <c r="D400" s="2"/>
      <c r="E400" s="2"/>
      <c r="F400" s="2"/>
      <c r="G400" s="2"/>
      <c r="H400" s="2"/>
    </row>
    <row r="401" spans="1:8">
      <c r="A401" s="1"/>
      <c r="B401" s="2"/>
      <c r="C401" s="2"/>
      <c r="D401" s="2"/>
      <c r="E401" s="2"/>
      <c r="F401" s="2"/>
      <c r="G401" s="2"/>
      <c r="H40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821F-626E-4321-BE13-E8F7EB78B29D}">
  <dimension ref="A1:E7"/>
  <sheetViews>
    <sheetView workbookViewId="0">
      <selection activeCell="I16" sqref="I16"/>
    </sheetView>
  </sheetViews>
  <sheetFormatPr defaultRowHeight="15.6"/>
  <cols>
    <col min="1" max="1" width="4.69921875" bestFit="1" customWidth="1"/>
    <col min="2" max="2" width="7.796875" bestFit="1" customWidth="1"/>
    <col min="3" max="3" width="5.8984375" bestFit="1" customWidth="1"/>
    <col min="4" max="4" width="9.8984375" bestFit="1" customWidth="1"/>
    <col min="5" max="5" width="16.19921875" bestFit="1" customWidth="1"/>
  </cols>
  <sheetData>
    <row r="1" spans="1:5">
      <c r="A1" t="s">
        <v>254</v>
      </c>
      <c r="B1" t="s">
        <v>255</v>
      </c>
      <c r="C1" t="s">
        <v>256</v>
      </c>
      <c r="D1" t="s">
        <v>257</v>
      </c>
      <c r="E1" t="s">
        <v>258</v>
      </c>
    </row>
    <row r="2" spans="1:5">
      <c r="A2">
        <v>101</v>
      </c>
      <c r="B2" s="24" t="s">
        <v>259</v>
      </c>
      <c r="C2">
        <v>26</v>
      </c>
      <c r="D2" s="24" t="s">
        <v>260</v>
      </c>
      <c r="E2" t="s">
        <v>261</v>
      </c>
    </row>
    <row r="3" spans="1:5">
      <c r="A3">
        <v>132</v>
      </c>
      <c r="B3" s="24" t="s">
        <v>262</v>
      </c>
      <c r="C3">
        <v>43</v>
      </c>
      <c r="D3" s="24" t="s">
        <v>263</v>
      </c>
      <c r="E3" t="s">
        <v>264</v>
      </c>
    </row>
    <row r="4" spans="1:5">
      <c r="A4">
        <v>123</v>
      </c>
      <c r="B4" s="24" t="s">
        <v>265</v>
      </c>
      <c r="C4">
        <v>32</v>
      </c>
      <c r="D4" s="24" t="s">
        <v>263</v>
      </c>
      <c r="E4" t="s">
        <v>264</v>
      </c>
    </row>
    <row r="5" spans="1:5">
      <c r="A5">
        <v>131</v>
      </c>
      <c r="B5" s="24" t="s">
        <v>266</v>
      </c>
      <c r="C5">
        <v>42</v>
      </c>
      <c r="D5" s="24" t="s">
        <v>260</v>
      </c>
      <c r="E5" t="s">
        <v>264</v>
      </c>
    </row>
    <row r="6" spans="1:5">
      <c r="A6">
        <v>108</v>
      </c>
      <c r="B6" s="24" t="s">
        <v>267</v>
      </c>
      <c r="C6">
        <v>35</v>
      </c>
      <c r="D6" s="24" t="s">
        <v>260</v>
      </c>
      <c r="E6" t="s">
        <v>264</v>
      </c>
    </row>
    <row r="7" spans="1:5">
      <c r="A7">
        <v>110</v>
      </c>
      <c r="B7" s="24" t="s">
        <v>268</v>
      </c>
      <c r="C7">
        <v>18</v>
      </c>
      <c r="D7" s="24" t="s">
        <v>263</v>
      </c>
      <c r="E7" t="s">
        <v>261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50"/>
  <sheetViews>
    <sheetView topLeftCell="B1" zoomScale="120" zoomScaleNormal="120" workbookViewId="0">
      <selection activeCell="D3" sqref="D3"/>
    </sheetView>
  </sheetViews>
  <sheetFormatPr defaultColWidth="8.796875" defaultRowHeight="15.6"/>
  <cols>
    <col min="1" max="1" width="12" customWidth="1"/>
    <col min="2" max="2" width="18" customWidth="1"/>
    <col min="3" max="3" width="28" customWidth="1"/>
    <col min="4" max="4" width="21" customWidth="1"/>
    <col min="5" max="5" width="16.19921875" customWidth="1"/>
  </cols>
  <sheetData>
    <row r="1" spans="1:5">
      <c r="A1" s="4" t="s">
        <v>74</v>
      </c>
      <c r="B1" s="4" t="s">
        <v>75</v>
      </c>
      <c r="C1" s="4" t="s">
        <v>166</v>
      </c>
      <c r="D1" s="4" t="s">
        <v>245</v>
      </c>
      <c r="E1" s="8" t="s">
        <v>167</v>
      </c>
    </row>
    <row r="2" spans="1:5">
      <c r="A2" t="s">
        <v>82</v>
      </c>
      <c r="B2" t="s">
        <v>83</v>
      </c>
      <c r="C2" t="s">
        <v>168</v>
      </c>
      <c r="D2" t="str">
        <f>CONCATENATE(A2," ",B2)</f>
        <v>TRP-00001 19-02-2023 18:41</v>
      </c>
      <c r="E2" s="9" t="str">
        <f>CONCATENATE(A2," - ",TEXT(B2,"MM/DD/YYYY"))</f>
        <v>TRP-00001 - 19-02-2023 18:41</v>
      </c>
    </row>
    <row r="3" spans="1:5">
      <c r="A3" t="s">
        <v>85</v>
      </c>
      <c r="B3" t="s">
        <v>86</v>
      </c>
      <c r="C3" t="s">
        <v>169</v>
      </c>
      <c r="D3" t="str">
        <f t="shared" ref="D3:D50" si="0">CONCATENATE(A3," ",B3)</f>
        <v>TRP-00002 24-06-2023 12:23</v>
      </c>
      <c r="E3" s="10" t="s">
        <v>170</v>
      </c>
    </row>
    <row r="4" spans="1:5" ht="187.2">
      <c r="A4" t="s">
        <v>88</v>
      </c>
      <c r="B4" t="s">
        <v>89</v>
      </c>
      <c r="C4" t="s">
        <v>171</v>
      </c>
      <c r="D4" t="str">
        <f t="shared" si="0"/>
        <v>TRP-00003 20-03-2023 05:53</v>
      </c>
      <c r="E4" s="11" t="s">
        <v>172</v>
      </c>
    </row>
    <row r="5" spans="1:5">
      <c r="A5" t="s">
        <v>90</v>
      </c>
      <c r="B5" t="s">
        <v>91</v>
      </c>
      <c r="C5" t="s">
        <v>173</v>
      </c>
      <c r="D5" t="str">
        <f t="shared" si="0"/>
        <v>TRP-00004 25-06-2023 09:58</v>
      </c>
    </row>
    <row r="6" spans="1:5">
      <c r="A6" t="s">
        <v>92</v>
      </c>
      <c r="B6" t="s">
        <v>93</v>
      </c>
      <c r="C6" t="s">
        <v>174</v>
      </c>
      <c r="D6" t="str">
        <f t="shared" si="0"/>
        <v>TRP-00005 15-12-2023 18:22</v>
      </c>
    </row>
    <row r="7" spans="1:5">
      <c r="A7" t="s">
        <v>94</v>
      </c>
      <c r="B7" t="s">
        <v>95</v>
      </c>
      <c r="C7" t="s">
        <v>175</v>
      </c>
      <c r="D7" t="str">
        <f t="shared" si="0"/>
        <v>TRP-00006 18-03-2023 14:57</v>
      </c>
    </row>
    <row r="8" spans="1:5">
      <c r="A8" t="s">
        <v>96</v>
      </c>
      <c r="B8" t="s">
        <v>97</v>
      </c>
      <c r="C8" t="s">
        <v>176</v>
      </c>
      <c r="D8" t="str">
        <f t="shared" si="0"/>
        <v>TRP-00007 19-01-2023 22:37</v>
      </c>
    </row>
    <row r="9" spans="1:5">
      <c r="A9" t="s">
        <v>98</v>
      </c>
      <c r="B9" t="s">
        <v>99</v>
      </c>
      <c r="C9" t="s">
        <v>177</v>
      </c>
      <c r="D9" t="str">
        <f t="shared" si="0"/>
        <v>TRP-00008 25-06-2023 01:30</v>
      </c>
    </row>
    <row r="10" spans="1:5">
      <c r="A10" t="s">
        <v>100</v>
      </c>
      <c r="B10" t="s">
        <v>101</v>
      </c>
      <c r="C10" t="s">
        <v>178</v>
      </c>
      <c r="D10" t="str">
        <f t="shared" si="0"/>
        <v>TRP-00009 27-10-2023 10:48</v>
      </c>
    </row>
    <row r="11" spans="1:5">
      <c r="A11" t="s">
        <v>102</v>
      </c>
      <c r="B11" s="5">
        <v>45145.844444444447</v>
      </c>
      <c r="C11" t="s">
        <v>179</v>
      </c>
      <c r="D11" t="str">
        <f t="shared" si="0"/>
        <v>TRP-00010 45145.8444444444</v>
      </c>
    </row>
    <row r="12" spans="1:5">
      <c r="A12" t="s">
        <v>103</v>
      </c>
      <c r="B12" t="s">
        <v>104</v>
      </c>
      <c r="C12" t="s">
        <v>180</v>
      </c>
      <c r="D12" t="str">
        <f t="shared" si="0"/>
        <v>TRP-00011 23-07-2023 11:04</v>
      </c>
    </row>
    <row r="13" spans="1:5">
      <c r="A13" t="s">
        <v>105</v>
      </c>
      <c r="B13" t="s">
        <v>106</v>
      </c>
      <c r="C13" t="s">
        <v>181</v>
      </c>
      <c r="D13" t="str">
        <f t="shared" si="0"/>
        <v>TRP-00012 28-04-2023 02:21</v>
      </c>
    </row>
    <row r="14" spans="1:5">
      <c r="A14" t="s">
        <v>107</v>
      </c>
      <c r="B14" t="s">
        <v>108</v>
      </c>
      <c r="C14" t="s">
        <v>182</v>
      </c>
      <c r="D14" t="str">
        <f t="shared" si="0"/>
        <v>TRP-00013 27-07-2023 14:51</v>
      </c>
    </row>
    <row r="15" spans="1:5">
      <c r="A15" t="s">
        <v>109</v>
      </c>
      <c r="B15" s="5">
        <v>45117.482638888891</v>
      </c>
      <c r="C15" t="s">
        <v>183</v>
      </c>
      <c r="D15" t="str">
        <f t="shared" si="0"/>
        <v>TRP-00014 45117.4826388889</v>
      </c>
    </row>
    <row r="16" spans="1:5">
      <c r="A16" t="s">
        <v>110</v>
      </c>
      <c r="B16" s="5">
        <v>45261.988888888889</v>
      </c>
      <c r="C16" t="s">
        <v>184</v>
      </c>
      <c r="D16" t="str">
        <f t="shared" si="0"/>
        <v>TRP-00015 45261.9888888889</v>
      </c>
    </row>
    <row r="17" spans="1:4">
      <c r="A17" t="s">
        <v>111</v>
      </c>
      <c r="B17" t="s">
        <v>112</v>
      </c>
      <c r="C17" t="s">
        <v>185</v>
      </c>
      <c r="D17" t="str">
        <f t="shared" si="0"/>
        <v>TRP-00016 22-07-2023 21:38</v>
      </c>
    </row>
    <row r="18" spans="1:4">
      <c r="A18" t="s">
        <v>113</v>
      </c>
      <c r="B18" t="s">
        <v>114</v>
      </c>
      <c r="C18" t="s">
        <v>186</v>
      </c>
      <c r="D18" t="str">
        <f t="shared" si="0"/>
        <v>TRP-00017 24-10-2023 04:03</v>
      </c>
    </row>
    <row r="19" spans="1:4">
      <c r="A19" t="s">
        <v>115</v>
      </c>
      <c r="B19" s="5">
        <v>45267.809027777781</v>
      </c>
      <c r="C19" t="s">
        <v>187</v>
      </c>
      <c r="D19" t="str">
        <f t="shared" si="0"/>
        <v>TRP-00018 45267.8090277778</v>
      </c>
    </row>
    <row r="20" spans="1:4">
      <c r="A20" t="s">
        <v>116</v>
      </c>
      <c r="B20" t="s">
        <v>117</v>
      </c>
      <c r="C20" t="s">
        <v>188</v>
      </c>
      <c r="D20" t="str">
        <f t="shared" si="0"/>
        <v>TRP-00019 15-04-2023 12:42</v>
      </c>
    </row>
    <row r="21" spans="1:4">
      <c r="A21" t="s">
        <v>118</v>
      </c>
      <c r="B21" t="s">
        <v>119</v>
      </c>
      <c r="C21" t="s">
        <v>189</v>
      </c>
      <c r="D21" t="str">
        <f t="shared" si="0"/>
        <v>TRP-00020 30-03-2023 02:17</v>
      </c>
    </row>
    <row r="22" spans="1:4">
      <c r="A22" t="s">
        <v>120</v>
      </c>
      <c r="B22" t="s">
        <v>121</v>
      </c>
      <c r="C22" t="s">
        <v>190</v>
      </c>
      <c r="D22" t="str">
        <f t="shared" si="0"/>
        <v>TRP-00021 16-04-2023 23:28</v>
      </c>
    </row>
    <row r="23" spans="1:4">
      <c r="A23" t="s">
        <v>122</v>
      </c>
      <c r="B23" t="s">
        <v>123</v>
      </c>
      <c r="C23" t="s">
        <v>191</v>
      </c>
      <c r="D23" t="str">
        <f t="shared" si="0"/>
        <v>TRP-00022 26-08-2023 01:25</v>
      </c>
    </row>
    <row r="24" spans="1:4">
      <c r="A24" t="s">
        <v>124</v>
      </c>
      <c r="B24" s="5">
        <v>45144.828472222223</v>
      </c>
      <c r="C24" t="s">
        <v>192</v>
      </c>
      <c r="D24" t="str">
        <f t="shared" si="0"/>
        <v>TRP-00023 45144.8284722222</v>
      </c>
    </row>
    <row r="25" spans="1:4">
      <c r="A25" t="s">
        <v>125</v>
      </c>
      <c r="B25" t="s">
        <v>126</v>
      </c>
      <c r="C25" t="s">
        <v>193</v>
      </c>
      <c r="D25" t="str">
        <f t="shared" si="0"/>
        <v>TRP-00024 16-06-2023 08:51</v>
      </c>
    </row>
    <row r="26" spans="1:4">
      <c r="A26" t="s">
        <v>127</v>
      </c>
      <c r="B26" s="5">
        <v>44988.081250000003</v>
      </c>
      <c r="C26" t="s">
        <v>194</v>
      </c>
      <c r="D26" t="str">
        <f t="shared" si="0"/>
        <v>TRP-00025 44988.08125</v>
      </c>
    </row>
    <row r="27" spans="1:4">
      <c r="A27" t="s">
        <v>128</v>
      </c>
      <c r="B27" s="5">
        <v>44968.231249999997</v>
      </c>
      <c r="C27" t="s">
        <v>195</v>
      </c>
      <c r="D27" t="str">
        <f t="shared" si="0"/>
        <v>TRP-00026 44968.23125</v>
      </c>
    </row>
    <row r="28" spans="1:4">
      <c r="A28" t="s">
        <v>129</v>
      </c>
      <c r="B28" t="s">
        <v>130</v>
      </c>
      <c r="C28" t="s">
        <v>196</v>
      </c>
      <c r="D28" t="str">
        <f t="shared" si="0"/>
        <v>TRP-00027 13-09-2023 20:13</v>
      </c>
    </row>
    <row r="29" spans="1:4">
      <c r="A29" t="s">
        <v>131</v>
      </c>
      <c r="B29" t="s">
        <v>132</v>
      </c>
      <c r="C29" t="s">
        <v>197</v>
      </c>
      <c r="D29" t="str">
        <f t="shared" si="0"/>
        <v>TRP-00028 26-03-2023 04:00</v>
      </c>
    </row>
    <row r="30" spans="1:4">
      <c r="A30" t="s">
        <v>133</v>
      </c>
      <c r="B30" t="s">
        <v>134</v>
      </c>
      <c r="C30" t="s">
        <v>198</v>
      </c>
      <c r="D30" t="str">
        <f t="shared" si="0"/>
        <v>TRP-00029 23-06-2023 20:25</v>
      </c>
    </row>
    <row r="31" spans="1:4">
      <c r="A31" t="s">
        <v>135</v>
      </c>
      <c r="B31" t="s">
        <v>136</v>
      </c>
      <c r="C31" t="s">
        <v>199</v>
      </c>
      <c r="D31" t="str">
        <f t="shared" si="0"/>
        <v>TRP-00030 21-01-2023 09:01</v>
      </c>
    </row>
    <row r="32" spans="1:4">
      <c r="A32" t="s">
        <v>137</v>
      </c>
      <c r="B32" s="5">
        <v>45242.32708333333</v>
      </c>
      <c r="C32" t="s">
        <v>200</v>
      </c>
      <c r="D32" t="str">
        <f t="shared" si="0"/>
        <v>TRP-00031 45242.3270833333</v>
      </c>
    </row>
    <row r="33" spans="1:4">
      <c r="A33" t="s">
        <v>138</v>
      </c>
      <c r="B33" s="5">
        <v>45201.993055555547</v>
      </c>
      <c r="C33" t="s">
        <v>201</v>
      </c>
      <c r="D33" t="str">
        <f t="shared" si="0"/>
        <v>TRP-00032 45201.9930555555</v>
      </c>
    </row>
    <row r="34" spans="1:4">
      <c r="A34" t="s">
        <v>139</v>
      </c>
      <c r="B34" s="5">
        <v>45142.62222222222</v>
      </c>
      <c r="C34" t="s">
        <v>202</v>
      </c>
      <c r="D34" t="str">
        <f t="shared" si="0"/>
        <v>TRP-00033 45142.6222222222</v>
      </c>
    </row>
    <row r="35" spans="1:4">
      <c r="A35" t="s">
        <v>140</v>
      </c>
      <c r="B35" s="5">
        <v>45117.711111111108</v>
      </c>
      <c r="C35" t="s">
        <v>203</v>
      </c>
      <c r="D35" t="str">
        <f t="shared" si="0"/>
        <v>TRP-00034 45117.7111111111</v>
      </c>
    </row>
    <row r="36" spans="1:4">
      <c r="A36" t="s">
        <v>141</v>
      </c>
      <c r="B36" t="s">
        <v>142</v>
      </c>
      <c r="C36" t="s">
        <v>204</v>
      </c>
      <c r="D36" t="str">
        <f t="shared" si="0"/>
        <v>TRP-00035 23-02-2023 08:35</v>
      </c>
    </row>
    <row r="37" spans="1:4">
      <c r="A37" t="s">
        <v>143</v>
      </c>
      <c r="B37" t="s">
        <v>144</v>
      </c>
      <c r="C37" t="s">
        <v>205</v>
      </c>
      <c r="D37" t="str">
        <f t="shared" si="0"/>
        <v>TRP-00036 27-10-2023 13:12</v>
      </c>
    </row>
    <row r="38" spans="1:4">
      <c r="A38" t="s">
        <v>145</v>
      </c>
      <c r="B38" t="s">
        <v>146</v>
      </c>
      <c r="C38" t="s">
        <v>206</v>
      </c>
      <c r="D38" t="str">
        <f t="shared" si="0"/>
        <v>TRP-00037 17-02-2023 21:48</v>
      </c>
    </row>
    <row r="39" spans="1:4">
      <c r="A39" t="s">
        <v>147</v>
      </c>
      <c r="B39" s="5">
        <v>45053.029166666667</v>
      </c>
      <c r="C39" t="s">
        <v>207</v>
      </c>
      <c r="D39" t="str">
        <f t="shared" si="0"/>
        <v>TRP-00038 45053.0291666667</v>
      </c>
    </row>
    <row r="40" spans="1:4">
      <c r="A40" t="s">
        <v>148</v>
      </c>
      <c r="B40" s="5">
        <v>44988.942361111112</v>
      </c>
      <c r="C40" t="s">
        <v>208</v>
      </c>
      <c r="D40" t="str">
        <f t="shared" si="0"/>
        <v>TRP-00039 44988.9423611111</v>
      </c>
    </row>
    <row r="41" spans="1:4">
      <c r="A41" t="s">
        <v>149</v>
      </c>
      <c r="B41" s="5">
        <v>45144.543055555558</v>
      </c>
      <c r="C41" t="s">
        <v>209</v>
      </c>
      <c r="D41" t="str">
        <f t="shared" si="0"/>
        <v>TRP-00040 45144.5430555556</v>
      </c>
    </row>
    <row r="42" spans="1:4">
      <c r="A42" t="s">
        <v>150</v>
      </c>
      <c r="B42" t="s">
        <v>151</v>
      </c>
      <c r="C42" t="s">
        <v>210</v>
      </c>
      <c r="D42" t="str">
        <f t="shared" si="0"/>
        <v>TRP-00041 15-03-2023 23:07</v>
      </c>
    </row>
    <row r="43" spans="1:4">
      <c r="A43" t="s">
        <v>152</v>
      </c>
      <c r="B43" t="s">
        <v>153</v>
      </c>
      <c r="C43" t="s">
        <v>211</v>
      </c>
      <c r="D43" t="str">
        <f t="shared" si="0"/>
        <v>TRP-00042 21-01-2023 15:33</v>
      </c>
    </row>
    <row r="44" spans="1:4">
      <c r="A44" t="s">
        <v>154</v>
      </c>
      <c r="B44" t="s">
        <v>155</v>
      </c>
      <c r="C44" t="s">
        <v>212</v>
      </c>
      <c r="D44" t="str">
        <f t="shared" si="0"/>
        <v>TRP-00043 22-06-2023 11:02</v>
      </c>
    </row>
    <row r="45" spans="1:4">
      <c r="A45" t="s">
        <v>156</v>
      </c>
      <c r="B45" t="s">
        <v>157</v>
      </c>
      <c r="C45" t="s">
        <v>213</v>
      </c>
      <c r="D45" t="str">
        <f t="shared" si="0"/>
        <v>TRP-00044 22-09-2023 11:05</v>
      </c>
    </row>
    <row r="46" spans="1:4">
      <c r="A46" t="s">
        <v>158</v>
      </c>
      <c r="B46" t="s">
        <v>159</v>
      </c>
      <c r="C46" t="s">
        <v>214</v>
      </c>
      <c r="D46" t="str">
        <f t="shared" si="0"/>
        <v>TRP-00045 26-02-2023 20:51</v>
      </c>
    </row>
    <row r="47" spans="1:4">
      <c r="A47" t="s">
        <v>160</v>
      </c>
      <c r="B47" t="s">
        <v>161</v>
      </c>
      <c r="C47" t="s">
        <v>215</v>
      </c>
      <c r="D47" t="str">
        <f t="shared" si="0"/>
        <v>TRP-00046 15-04-2023 08:51</v>
      </c>
    </row>
    <row r="48" spans="1:4">
      <c r="A48" t="s">
        <v>162</v>
      </c>
      <c r="B48" s="5">
        <v>45111.100694444453</v>
      </c>
      <c r="C48" t="s">
        <v>216</v>
      </c>
      <c r="D48" t="str">
        <f t="shared" si="0"/>
        <v>TRP-00047 45111.1006944445</v>
      </c>
    </row>
    <row r="49" spans="1:4">
      <c r="A49" t="s">
        <v>163</v>
      </c>
      <c r="B49" s="5">
        <v>45051.486805555563</v>
      </c>
      <c r="C49" t="s">
        <v>217</v>
      </c>
      <c r="D49" t="str">
        <f t="shared" si="0"/>
        <v>TRP-00048 45051.4868055556</v>
      </c>
    </row>
    <row r="50" spans="1:4">
      <c r="A50" t="s">
        <v>164</v>
      </c>
      <c r="B50" t="s">
        <v>165</v>
      </c>
      <c r="C50" t="s">
        <v>218</v>
      </c>
      <c r="D50" t="str">
        <f t="shared" si="0"/>
        <v>TRP-00049 25-09-2023 17:08</v>
      </c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50"/>
  <sheetViews>
    <sheetView workbookViewId="0">
      <selection activeCell="D2" sqref="D2"/>
    </sheetView>
  </sheetViews>
  <sheetFormatPr defaultColWidth="8.796875" defaultRowHeight="15.6"/>
  <cols>
    <col min="1" max="1" width="12" customWidth="1"/>
    <col min="2" max="2" width="18" customWidth="1"/>
    <col min="3" max="3" width="15" customWidth="1"/>
    <col min="4" max="4" width="25.19921875" customWidth="1"/>
    <col min="5" max="5" width="60" customWidth="1"/>
  </cols>
  <sheetData>
    <row r="1" spans="1:5">
      <c r="A1" s="4" t="s">
        <v>74</v>
      </c>
      <c r="B1" s="4" t="s">
        <v>80</v>
      </c>
      <c r="C1" s="4" t="s">
        <v>219</v>
      </c>
      <c r="D1" s="4" t="s">
        <v>21</v>
      </c>
      <c r="E1" s="8" t="s">
        <v>167</v>
      </c>
    </row>
    <row r="2" spans="1:5">
      <c r="A2" t="s">
        <v>82</v>
      </c>
      <c r="B2">
        <v>2.67</v>
      </c>
      <c r="C2" t="s">
        <v>220</v>
      </c>
      <c r="D2" t="str">
        <f>IF(B2&lt;=3,"Low",IF(B2&lt;=3.5,"Medium","High"))</f>
        <v>Low</v>
      </c>
      <c r="E2" s="9" t="str">
        <f>IF(B2&lt;=3,CHOOSE(1,"Low"),IF(B2&lt;=3.5,CHOOSE(2,"Medium"),CHOOSE(3,"High")))</f>
        <v>Low</v>
      </c>
    </row>
    <row r="3" spans="1:5">
      <c r="A3" t="s">
        <v>85</v>
      </c>
      <c r="B3">
        <v>3.84</v>
      </c>
      <c r="C3" t="s">
        <v>221</v>
      </c>
      <c r="D3" t="str">
        <f t="shared" ref="D3:D50" si="0">IF(B3&lt;=3,"Low",IF(B3&lt;=3.5,"Medium","High"))</f>
        <v>High</v>
      </c>
      <c r="E3" s="10" t="s">
        <v>170</v>
      </c>
    </row>
    <row r="4" spans="1:5" ht="46.8">
      <c r="A4" t="s">
        <v>88</v>
      </c>
      <c r="B4">
        <v>3.32</v>
      </c>
      <c r="C4" t="s">
        <v>222</v>
      </c>
      <c r="D4" t="str">
        <f t="shared" si="0"/>
        <v>Medium</v>
      </c>
      <c r="E4" s="11" t="s">
        <v>223</v>
      </c>
    </row>
    <row r="5" spans="1:5">
      <c r="A5" t="s">
        <v>90</v>
      </c>
      <c r="B5">
        <v>3.44</v>
      </c>
      <c r="C5" t="s">
        <v>222</v>
      </c>
      <c r="D5" t="str">
        <f t="shared" si="0"/>
        <v>Medium</v>
      </c>
    </row>
    <row r="6" spans="1:5">
      <c r="A6" t="s">
        <v>92</v>
      </c>
      <c r="B6">
        <v>2.6</v>
      </c>
      <c r="C6" t="s">
        <v>220</v>
      </c>
      <c r="D6" t="str">
        <f t="shared" si="0"/>
        <v>Low</v>
      </c>
    </row>
    <row r="7" spans="1:5">
      <c r="A7" t="s">
        <v>94</v>
      </c>
      <c r="B7">
        <v>2.88</v>
      </c>
      <c r="C7" t="s">
        <v>220</v>
      </c>
      <c r="D7" t="str">
        <f t="shared" si="0"/>
        <v>Low</v>
      </c>
    </row>
    <row r="8" spans="1:5">
      <c r="A8" t="s">
        <v>96</v>
      </c>
      <c r="B8">
        <v>4.08</v>
      </c>
      <c r="C8" t="s">
        <v>221</v>
      </c>
      <c r="D8" t="str">
        <f t="shared" si="0"/>
        <v>High</v>
      </c>
    </row>
    <row r="9" spans="1:5">
      <c r="A9" t="s">
        <v>98</v>
      </c>
      <c r="B9">
        <v>3.41</v>
      </c>
      <c r="C9" t="s">
        <v>222</v>
      </c>
      <c r="D9" t="str">
        <f t="shared" si="0"/>
        <v>Medium</v>
      </c>
    </row>
    <row r="10" spans="1:5">
      <c r="A10" t="s">
        <v>100</v>
      </c>
      <c r="B10">
        <v>3.1</v>
      </c>
      <c r="C10" t="s">
        <v>222</v>
      </c>
      <c r="D10" t="str">
        <f t="shared" si="0"/>
        <v>Medium</v>
      </c>
    </row>
    <row r="11" spans="1:5">
      <c r="A11" t="s">
        <v>102</v>
      </c>
      <c r="B11">
        <v>3.27</v>
      </c>
      <c r="C11" t="s">
        <v>222</v>
      </c>
      <c r="D11" t="str">
        <f t="shared" si="0"/>
        <v>Medium</v>
      </c>
    </row>
    <row r="12" spans="1:5">
      <c r="A12" t="s">
        <v>103</v>
      </c>
      <c r="B12">
        <v>4.21</v>
      </c>
      <c r="C12" t="s">
        <v>221</v>
      </c>
      <c r="D12" t="str">
        <f t="shared" si="0"/>
        <v>High</v>
      </c>
    </row>
    <row r="13" spans="1:5">
      <c r="A13" t="s">
        <v>105</v>
      </c>
      <c r="B13">
        <v>4</v>
      </c>
      <c r="C13" t="s">
        <v>221</v>
      </c>
      <c r="D13" t="str">
        <f t="shared" si="0"/>
        <v>High</v>
      </c>
    </row>
    <row r="14" spans="1:5">
      <c r="A14" t="s">
        <v>107</v>
      </c>
      <c r="B14">
        <v>3.04</v>
      </c>
      <c r="C14" t="s">
        <v>222</v>
      </c>
      <c r="D14" t="str">
        <f t="shared" si="0"/>
        <v>Medium</v>
      </c>
    </row>
    <row r="15" spans="1:5">
      <c r="A15" t="s">
        <v>109</v>
      </c>
      <c r="B15">
        <v>2.74</v>
      </c>
      <c r="C15" t="s">
        <v>220</v>
      </c>
      <c r="D15" t="str">
        <f t="shared" si="0"/>
        <v>Low</v>
      </c>
    </row>
    <row r="16" spans="1:5">
      <c r="A16" t="s">
        <v>110</v>
      </c>
      <c r="B16">
        <v>3</v>
      </c>
      <c r="C16" t="s">
        <v>220</v>
      </c>
      <c r="D16" t="str">
        <f t="shared" si="0"/>
        <v>Low</v>
      </c>
    </row>
    <row r="17" spans="1:4">
      <c r="A17" t="s">
        <v>111</v>
      </c>
      <c r="B17">
        <v>4.34</v>
      </c>
      <c r="C17" t="s">
        <v>221</v>
      </c>
      <c r="D17" t="str">
        <f t="shared" si="0"/>
        <v>High</v>
      </c>
    </row>
    <row r="18" spans="1:4">
      <c r="A18" t="s">
        <v>113</v>
      </c>
      <c r="B18">
        <v>3.66</v>
      </c>
      <c r="C18" t="s">
        <v>221</v>
      </c>
      <c r="D18" t="str">
        <f t="shared" si="0"/>
        <v>High</v>
      </c>
    </row>
    <row r="19" spans="1:4">
      <c r="A19" t="s">
        <v>115</v>
      </c>
      <c r="B19">
        <v>3.57</v>
      </c>
      <c r="C19" t="s">
        <v>221</v>
      </c>
      <c r="D19" t="str">
        <f t="shared" si="0"/>
        <v>High</v>
      </c>
    </row>
    <row r="20" spans="1:4">
      <c r="A20" t="s">
        <v>116</v>
      </c>
      <c r="B20">
        <v>3.69</v>
      </c>
      <c r="C20" t="s">
        <v>221</v>
      </c>
      <c r="D20" t="str">
        <f t="shared" si="0"/>
        <v>High</v>
      </c>
    </row>
    <row r="21" spans="1:4">
      <c r="A21" t="s">
        <v>118</v>
      </c>
      <c r="B21">
        <v>3.23</v>
      </c>
      <c r="C21" t="s">
        <v>222</v>
      </c>
      <c r="D21" t="str">
        <f t="shared" si="0"/>
        <v>Medium</v>
      </c>
    </row>
    <row r="22" spans="1:4">
      <c r="A22" t="s">
        <v>120</v>
      </c>
      <c r="B22">
        <v>4.1100000000000003</v>
      </c>
      <c r="C22" t="s">
        <v>221</v>
      </c>
      <c r="D22" t="str">
        <f t="shared" si="0"/>
        <v>High</v>
      </c>
    </row>
    <row r="23" spans="1:4">
      <c r="A23" t="s">
        <v>122</v>
      </c>
      <c r="B23">
        <v>3.55</v>
      </c>
      <c r="C23" t="s">
        <v>221</v>
      </c>
      <c r="D23" t="str">
        <f t="shared" si="0"/>
        <v>High</v>
      </c>
    </row>
    <row r="24" spans="1:4">
      <c r="A24" t="s">
        <v>124</v>
      </c>
      <c r="B24">
        <v>2.73</v>
      </c>
      <c r="C24" t="s">
        <v>220</v>
      </c>
      <c r="D24" t="str">
        <f t="shared" si="0"/>
        <v>Low</v>
      </c>
    </row>
    <row r="25" spans="1:4">
      <c r="A25" t="s">
        <v>125</v>
      </c>
      <c r="B25">
        <v>2.76</v>
      </c>
      <c r="C25" t="s">
        <v>220</v>
      </c>
      <c r="D25" t="str">
        <f t="shared" si="0"/>
        <v>Low</v>
      </c>
    </row>
    <row r="26" spans="1:4">
      <c r="A26" t="s">
        <v>127</v>
      </c>
      <c r="B26">
        <v>3.57</v>
      </c>
      <c r="C26" t="s">
        <v>221</v>
      </c>
      <c r="D26" t="str">
        <f t="shared" si="0"/>
        <v>High</v>
      </c>
    </row>
    <row r="27" spans="1:4">
      <c r="A27" t="s">
        <v>128</v>
      </c>
      <c r="B27">
        <v>4.37</v>
      </c>
      <c r="C27" t="s">
        <v>221</v>
      </c>
      <c r="D27" t="str">
        <f t="shared" si="0"/>
        <v>High</v>
      </c>
    </row>
    <row r="28" spans="1:4">
      <c r="A28" t="s">
        <v>129</v>
      </c>
      <c r="B28">
        <v>3.12</v>
      </c>
      <c r="C28" t="s">
        <v>222</v>
      </c>
      <c r="D28" t="str">
        <f t="shared" si="0"/>
        <v>Medium</v>
      </c>
    </row>
    <row r="29" spans="1:4">
      <c r="A29" t="s">
        <v>131</v>
      </c>
      <c r="B29">
        <v>4.24</v>
      </c>
      <c r="C29" t="s">
        <v>221</v>
      </c>
      <c r="D29" t="str">
        <f t="shared" si="0"/>
        <v>High</v>
      </c>
    </row>
    <row r="30" spans="1:4">
      <c r="A30" t="s">
        <v>133</v>
      </c>
      <c r="B30">
        <v>4.03</v>
      </c>
      <c r="C30" t="s">
        <v>221</v>
      </c>
      <c r="D30" t="str">
        <f t="shared" si="0"/>
        <v>High</v>
      </c>
    </row>
    <row r="31" spans="1:4">
      <c r="A31" t="s">
        <v>135</v>
      </c>
      <c r="B31">
        <v>3</v>
      </c>
      <c r="C31" t="s">
        <v>220</v>
      </c>
      <c r="D31" t="str">
        <f t="shared" si="0"/>
        <v>Low</v>
      </c>
    </row>
    <row r="32" spans="1:4">
      <c r="A32" t="s">
        <v>137</v>
      </c>
      <c r="B32">
        <v>2.57</v>
      </c>
      <c r="C32" t="s">
        <v>220</v>
      </c>
      <c r="D32" t="str">
        <f t="shared" si="0"/>
        <v>Low</v>
      </c>
    </row>
    <row r="33" spans="1:4">
      <c r="A33" t="s">
        <v>138</v>
      </c>
      <c r="B33">
        <v>2.7</v>
      </c>
      <c r="C33" t="s">
        <v>220</v>
      </c>
      <c r="D33" t="str">
        <f t="shared" si="0"/>
        <v>Low</v>
      </c>
    </row>
    <row r="34" spans="1:4">
      <c r="A34" t="s">
        <v>139</v>
      </c>
      <c r="B34">
        <v>3.96</v>
      </c>
      <c r="C34" t="s">
        <v>221</v>
      </c>
      <c r="D34" t="str">
        <f t="shared" si="0"/>
        <v>High</v>
      </c>
    </row>
    <row r="35" spans="1:4">
      <c r="A35" t="s">
        <v>140</v>
      </c>
      <c r="B35">
        <v>2.9</v>
      </c>
      <c r="C35" t="s">
        <v>220</v>
      </c>
      <c r="D35" t="str">
        <f t="shared" si="0"/>
        <v>Low</v>
      </c>
    </row>
    <row r="36" spans="1:4">
      <c r="A36" t="s">
        <v>141</v>
      </c>
      <c r="B36">
        <v>3.24</v>
      </c>
      <c r="C36" t="s">
        <v>222</v>
      </c>
      <c r="D36" t="str">
        <f t="shared" si="0"/>
        <v>Medium</v>
      </c>
    </row>
    <row r="37" spans="1:4">
      <c r="A37" t="s">
        <v>143</v>
      </c>
      <c r="B37">
        <v>3.5</v>
      </c>
      <c r="C37" t="s">
        <v>222</v>
      </c>
      <c r="D37" t="str">
        <f t="shared" si="0"/>
        <v>Medium</v>
      </c>
    </row>
    <row r="38" spans="1:4">
      <c r="A38" t="s">
        <v>145</v>
      </c>
      <c r="B38">
        <v>3.95</v>
      </c>
      <c r="C38" t="s">
        <v>221</v>
      </c>
      <c r="D38" t="str">
        <f t="shared" si="0"/>
        <v>High</v>
      </c>
    </row>
    <row r="39" spans="1:4">
      <c r="A39" t="s">
        <v>147</v>
      </c>
      <c r="B39">
        <v>2.73</v>
      </c>
      <c r="C39" t="s">
        <v>220</v>
      </c>
      <c r="D39" t="str">
        <f t="shared" si="0"/>
        <v>Low</v>
      </c>
    </row>
    <row r="40" spans="1:4">
      <c r="A40" t="s">
        <v>148</v>
      </c>
      <c r="B40">
        <v>3.31</v>
      </c>
      <c r="C40" t="s">
        <v>222</v>
      </c>
      <c r="D40" t="str">
        <f t="shared" si="0"/>
        <v>Medium</v>
      </c>
    </row>
    <row r="41" spans="1:4">
      <c r="A41" t="s">
        <v>149</v>
      </c>
      <c r="B41">
        <v>3.47</v>
      </c>
      <c r="C41" t="s">
        <v>222</v>
      </c>
      <c r="D41" t="str">
        <f t="shared" si="0"/>
        <v>Medium</v>
      </c>
    </row>
    <row r="42" spans="1:4">
      <c r="A42" t="s">
        <v>150</v>
      </c>
      <c r="B42">
        <v>3.58</v>
      </c>
      <c r="C42" t="s">
        <v>221</v>
      </c>
      <c r="D42" t="str">
        <f t="shared" si="0"/>
        <v>High</v>
      </c>
    </row>
    <row r="43" spans="1:4">
      <c r="A43" t="s">
        <v>152</v>
      </c>
      <c r="B43">
        <v>4.1399999999999997</v>
      </c>
      <c r="C43" t="s">
        <v>221</v>
      </c>
      <c r="D43" t="str">
        <f t="shared" si="0"/>
        <v>High</v>
      </c>
    </row>
    <row r="44" spans="1:4">
      <c r="A44" t="s">
        <v>154</v>
      </c>
      <c r="B44">
        <v>2.84</v>
      </c>
      <c r="C44" t="s">
        <v>220</v>
      </c>
      <c r="D44" t="str">
        <f t="shared" si="0"/>
        <v>Low</v>
      </c>
    </row>
    <row r="45" spans="1:4">
      <c r="A45" t="s">
        <v>156</v>
      </c>
      <c r="B45">
        <v>4.12</v>
      </c>
      <c r="C45" t="s">
        <v>221</v>
      </c>
      <c r="D45" t="str">
        <f t="shared" si="0"/>
        <v>High</v>
      </c>
    </row>
    <row r="46" spans="1:4">
      <c r="A46" t="s">
        <v>158</v>
      </c>
      <c r="B46">
        <v>3.89</v>
      </c>
      <c r="C46" t="s">
        <v>221</v>
      </c>
      <c r="D46" t="str">
        <f t="shared" si="0"/>
        <v>High</v>
      </c>
    </row>
    <row r="47" spans="1:4">
      <c r="A47" t="s">
        <v>160</v>
      </c>
      <c r="B47">
        <v>3.61</v>
      </c>
      <c r="C47" t="s">
        <v>221</v>
      </c>
      <c r="D47" t="str">
        <f t="shared" si="0"/>
        <v>High</v>
      </c>
    </row>
    <row r="48" spans="1:4">
      <c r="A48" t="s">
        <v>162</v>
      </c>
      <c r="B48">
        <v>3.9</v>
      </c>
      <c r="C48" t="s">
        <v>221</v>
      </c>
      <c r="D48" t="str">
        <f t="shared" si="0"/>
        <v>High</v>
      </c>
    </row>
    <row r="49" spans="1:4">
      <c r="A49" t="s">
        <v>163</v>
      </c>
      <c r="B49">
        <v>3.32</v>
      </c>
      <c r="C49" t="s">
        <v>222</v>
      </c>
      <c r="D49" t="str">
        <f t="shared" si="0"/>
        <v>Medium</v>
      </c>
    </row>
    <row r="50" spans="1:4">
      <c r="A50" t="s">
        <v>164</v>
      </c>
      <c r="B50">
        <v>2.78</v>
      </c>
      <c r="C50" t="s">
        <v>220</v>
      </c>
      <c r="D50" t="str">
        <f t="shared" si="0"/>
        <v>Low</v>
      </c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50"/>
  <sheetViews>
    <sheetView workbookViewId="0">
      <selection activeCell="D2" sqref="D2"/>
    </sheetView>
  </sheetViews>
  <sheetFormatPr defaultColWidth="8.796875" defaultRowHeight="15.6"/>
  <cols>
    <col min="1" max="1" width="12" customWidth="1"/>
    <col min="2" max="2" width="18" customWidth="1"/>
    <col min="3" max="3" width="12" customWidth="1"/>
    <col min="5" max="5" width="60" customWidth="1"/>
  </cols>
  <sheetData>
    <row r="1" spans="1:5">
      <c r="A1" s="4" t="s">
        <v>74</v>
      </c>
      <c r="B1" s="4" t="s">
        <v>81</v>
      </c>
      <c r="C1" s="4" t="s">
        <v>224</v>
      </c>
      <c r="D1" s="4" t="s">
        <v>243</v>
      </c>
      <c r="E1" s="8" t="s">
        <v>167</v>
      </c>
    </row>
    <row r="2" spans="1:5">
      <c r="A2" t="s">
        <v>82</v>
      </c>
      <c r="B2">
        <v>30</v>
      </c>
      <c r="C2">
        <v>36</v>
      </c>
      <c r="D2">
        <f>RANK(B2,$B$2:$B$50,0)</f>
        <v>36</v>
      </c>
      <c r="E2" s="9">
        <f>RANK(B2,$B$2:$B$50,0)</f>
        <v>36</v>
      </c>
    </row>
    <row r="3" spans="1:5">
      <c r="A3" t="s">
        <v>85</v>
      </c>
      <c r="B3">
        <v>57</v>
      </c>
      <c r="C3">
        <v>24</v>
      </c>
      <c r="D3">
        <f>RANK(B3,$B$2:$B$50,0)</f>
        <v>23</v>
      </c>
      <c r="E3" s="10" t="s">
        <v>170</v>
      </c>
    </row>
    <row r="4" spans="1:5" ht="46.8">
      <c r="A4" t="s">
        <v>88</v>
      </c>
      <c r="B4">
        <v>82</v>
      </c>
      <c r="C4">
        <v>16</v>
      </c>
      <c r="D4">
        <f t="shared" ref="D4:D50" si="0">RANK(B4,$B$2:$B$50,0)</f>
        <v>16</v>
      </c>
      <c r="E4" s="11" t="s">
        <v>225</v>
      </c>
    </row>
    <row r="5" spans="1:5">
      <c r="A5" t="s">
        <v>90</v>
      </c>
      <c r="B5">
        <v>41</v>
      </c>
      <c r="C5">
        <v>32</v>
      </c>
      <c r="D5">
        <f t="shared" si="0"/>
        <v>30</v>
      </c>
    </row>
    <row r="6" spans="1:5">
      <c r="A6" t="s">
        <v>92</v>
      </c>
      <c r="B6">
        <v>71</v>
      </c>
      <c r="C6">
        <v>19</v>
      </c>
      <c r="D6">
        <f t="shared" si="0"/>
        <v>19</v>
      </c>
    </row>
    <row r="7" spans="1:5">
      <c r="A7" t="s">
        <v>94</v>
      </c>
      <c r="B7">
        <v>117</v>
      </c>
      <c r="C7">
        <v>2</v>
      </c>
      <c r="D7">
        <f t="shared" si="0"/>
        <v>1</v>
      </c>
    </row>
    <row r="8" spans="1:5">
      <c r="A8" t="s">
        <v>96</v>
      </c>
      <c r="B8">
        <v>39</v>
      </c>
      <c r="C8">
        <v>33</v>
      </c>
      <c r="D8">
        <f t="shared" si="0"/>
        <v>33</v>
      </c>
    </row>
    <row r="9" spans="1:5">
      <c r="A9" t="s">
        <v>98</v>
      </c>
      <c r="B9">
        <v>45</v>
      </c>
      <c r="C9">
        <v>29</v>
      </c>
      <c r="D9">
        <f t="shared" si="0"/>
        <v>28</v>
      </c>
    </row>
    <row r="10" spans="1:5">
      <c r="A10" t="s">
        <v>100</v>
      </c>
      <c r="B10">
        <v>73</v>
      </c>
      <c r="C10">
        <v>18</v>
      </c>
      <c r="D10">
        <f t="shared" si="0"/>
        <v>18</v>
      </c>
    </row>
    <row r="11" spans="1:5">
      <c r="A11" t="s">
        <v>102</v>
      </c>
      <c r="B11">
        <v>-8</v>
      </c>
      <c r="C11">
        <v>49</v>
      </c>
      <c r="D11">
        <f t="shared" si="0"/>
        <v>49</v>
      </c>
    </row>
    <row r="12" spans="1:5">
      <c r="A12" t="s">
        <v>103</v>
      </c>
      <c r="B12">
        <v>0</v>
      </c>
      <c r="C12">
        <v>43</v>
      </c>
      <c r="D12">
        <f t="shared" si="0"/>
        <v>43</v>
      </c>
    </row>
    <row r="13" spans="1:5">
      <c r="A13" t="s">
        <v>105</v>
      </c>
      <c r="B13">
        <v>100</v>
      </c>
      <c r="C13">
        <v>9</v>
      </c>
      <c r="D13">
        <f t="shared" si="0"/>
        <v>9</v>
      </c>
    </row>
    <row r="14" spans="1:5">
      <c r="A14" t="s">
        <v>107</v>
      </c>
      <c r="B14">
        <v>45</v>
      </c>
      <c r="C14">
        <v>29</v>
      </c>
      <c r="D14">
        <f t="shared" si="0"/>
        <v>28</v>
      </c>
    </row>
    <row r="15" spans="1:5">
      <c r="A15" t="s">
        <v>109</v>
      </c>
      <c r="B15">
        <v>-1</v>
      </c>
      <c r="C15">
        <v>45</v>
      </c>
      <c r="D15">
        <f t="shared" si="0"/>
        <v>44</v>
      </c>
    </row>
    <row r="16" spans="1:5">
      <c r="A16" t="s">
        <v>110</v>
      </c>
      <c r="B16">
        <v>115</v>
      </c>
      <c r="C16">
        <v>4</v>
      </c>
      <c r="D16">
        <f t="shared" si="0"/>
        <v>3</v>
      </c>
    </row>
    <row r="17" spans="1:4">
      <c r="A17" t="s">
        <v>111</v>
      </c>
      <c r="B17">
        <v>86</v>
      </c>
      <c r="C17">
        <v>14</v>
      </c>
      <c r="D17">
        <f t="shared" si="0"/>
        <v>14</v>
      </c>
    </row>
    <row r="18" spans="1:4">
      <c r="A18" t="s">
        <v>113</v>
      </c>
      <c r="B18">
        <v>38</v>
      </c>
      <c r="C18">
        <v>34</v>
      </c>
      <c r="D18">
        <f t="shared" si="0"/>
        <v>34</v>
      </c>
    </row>
    <row r="19" spans="1:4">
      <c r="A19" t="s">
        <v>115</v>
      </c>
      <c r="B19">
        <v>-2</v>
      </c>
      <c r="C19">
        <v>46</v>
      </c>
      <c r="D19">
        <f t="shared" si="0"/>
        <v>46</v>
      </c>
    </row>
    <row r="20" spans="1:4">
      <c r="A20" t="s">
        <v>116</v>
      </c>
      <c r="B20">
        <v>20</v>
      </c>
      <c r="C20">
        <v>38</v>
      </c>
      <c r="D20">
        <f t="shared" si="0"/>
        <v>38</v>
      </c>
    </row>
    <row r="21" spans="1:4">
      <c r="A21" t="s">
        <v>118</v>
      </c>
      <c r="B21">
        <v>89</v>
      </c>
      <c r="C21">
        <v>13</v>
      </c>
      <c r="D21">
        <f t="shared" si="0"/>
        <v>13</v>
      </c>
    </row>
    <row r="22" spans="1:4">
      <c r="A22" t="s">
        <v>120</v>
      </c>
      <c r="B22">
        <v>66</v>
      </c>
      <c r="C22">
        <v>21</v>
      </c>
      <c r="D22">
        <f t="shared" si="0"/>
        <v>21</v>
      </c>
    </row>
    <row r="23" spans="1:4">
      <c r="A23" t="s">
        <v>122</v>
      </c>
      <c r="B23">
        <v>51</v>
      </c>
      <c r="C23">
        <v>26</v>
      </c>
      <c r="D23">
        <f t="shared" si="0"/>
        <v>26</v>
      </c>
    </row>
    <row r="24" spans="1:4">
      <c r="A24" t="s">
        <v>124</v>
      </c>
      <c r="B24">
        <v>-6</v>
      </c>
      <c r="C24">
        <v>47</v>
      </c>
      <c r="D24">
        <f t="shared" si="0"/>
        <v>47</v>
      </c>
    </row>
    <row r="25" spans="1:4">
      <c r="A25" t="s">
        <v>125</v>
      </c>
      <c r="B25">
        <v>33</v>
      </c>
      <c r="C25">
        <v>35</v>
      </c>
      <c r="D25">
        <f t="shared" si="0"/>
        <v>35</v>
      </c>
    </row>
    <row r="26" spans="1:4">
      <c r="A26" t="s">
        <v>127</v>
      </c>
      <c r="B26">
        <v>95</v>
      </c>
      <c r="C26">
        <v>12</v>
      </c>
      <c r="D26">
        <f t="shared" si="0"/>
        <v>11</v>
      </c>
    </row>
    <row r="27" spans="1:4">
      <c r="A27" t="s">
        <v>128</v>
      </c>
      <c r="B27">
        <v>49</v>
      </c>
      <c r="C27">
        <v>27</v>
      </c>
      <c r="D27">
        <f t="shared" si="0"/>
        <v>27</v>
      </c>
    </row>
    <row r="28" spans="1:4">
      <c r="A28" t="s">
        <v>129</v>
      </c>
      <c r="B28">
        <v>41</v>
      </c>
      <c r="C28">
        <v>32</v>
      </c>
      <c r="D28">
        <f>RANK(B28,$B$2:$B$50,0)</f>
        <v>30</v>
      </c>
    </row>
    <row r="29" spans="1:4">
      <c r="A29" t="s">
        <v>131</v>
      </c>
      <c r="B29">
        <v>11</v>
      </c>
      <c r="C29">
        <v>39</v>
      </c>
      <c r="D29">
        <f t="shared" si="0"/>
        <v>39</v>
      </c>
    </row>
    <row r="30" spans="1:4">
      <c r="A30" t="s">
        <v>133</v>
      </c>
      <c r="B30">
        <v>97</v>
      </c>
      <c r="C30">
        <v>10</v>
      </c>
      <c r="D30">
        <f t="shared" si="0"/>
        <v>10</v>
      </c>
    </row>
    <row r="31" spans="1:4">
      <c r="A31" t="s">
        <v>135</v>
      </c>
      <c r="B31">
        <v>117</v>
      </c>
      <c r="C31">
        <v>2</v>
      </c>
      <c r="D31">
        <f t="shared" si="0"/>
        <v>1</v>
      </c>
    </row>
    <row r="32" spans="1:4">
      <c r="A32" t="s">
        <v>137</v>
      </c>
      <c r="B32">
        <v>55</v>
      </c>
      <c r="C32">
        <v>25</v>
      </c>
      <c r="D32">
        <f t="shared" si="0"/>
        <v>25</v>
      </c>
    </row>
    <row r="33" spans="1:4">
      <c r="A33" t="s">
        <v>138</v>
      </c>
      <c r="B33">
        <v>67</v>
      </c>
      <c r="C33">
        <v>20</v>
      </c>
      <c r="D33">
        <f t="shared" si="0"/>
        <v>20</v>
      </c>
    </row>
    <row r="34" spans="1:4">
      <c r="A34" t="s">
        <v>139</v>
      </c>
      <c r="B34">
        <v>41</v>
      </c>
      <c r="C34">
        <v>32</v>
      </c>
      <c r="D34">
        <f t="shared" si="0"/>
        <v>30</v>
      </c>
    </row>
    <row r="35" spans="1:4">
      <c r="A35" t="s">
        <v>140</v>
      </c>
      <c r="B35">
        <v>104</v>
      </c>
      <c r="C35">
        <v>7</v>
      </c>
      <c r="D35">
        <f t="shared" si="0"/>
        <v>7</v>
      </c>
    </row>
    <row r="36" spans="1:4">
      <c r="A36" t="s">
        <v>141</v>
      </c>
      <c r="B36">
        <v>77</v>
      </c>
      <c r="C36">
        <v>17</v>
      </c>
      <c r="D36">
        <f t="shared" si="0"/>
        <v>17</v>
      </c>
    </row>
    <row r="37" spans="1:4">
      <c r="A37" t="s">
        <v>143</v>
      </c>
      <c r="B37">
        <v>-1</v>
      </c>
      <c r="C37">
        <v>45</v>
      </c>
      <c r="D37">
        <f t="shared" si="0"/>
        <v>44</v>
      </c>
    </row>
    <row r="38" spans="1:4">
      <c r="A38" t="s">
        <v>145</v>
      </c>
      <c r="B38">
        <v>95</v>
      </c>
      <c r="C38">
        <v>12</v>
      </c>
      <c r="D38">
        <f t="shared" si="0"/>
        <v>11</v>
      </c>
    </row>
    <row r="39" spans="1:4">
      <c r="A39" t="s">
        <v>147</v>
      </c>
      <c r="B39">
        <v>85</v>
      </c>
      <c r="C39">
        <v>15</v>
      </c>
      <c r="D39">
        <f t="shared" si="0"/>
        <v>15</v>
      </c>
    </row>
    <row r="40" spans="1:4">
      <c r="A40" t="s">
        <v>148</v>
      </c>
      <c r="B40">
        <v>103</v>
      </c>
      <c r="C40">
        <v>8</v>
      </c>
      <c r="D40">
        <f t="shared" si="0"/>
        <v>8</v>
      </c>
    </row>
    <row r="41" spans="1:4">
      <c r="A41" t="s">
        <v>149</v>
      </c>
      <c r="B41">
        <v>60</v>
      </c>
      <c r="C41">
        <v>22</v>
      </c>
      <c r="D41">
        <f t="shared" si="0"/>
        <v>22</v>
      </c>
    </row>
    <row r="42" spans="1:4">
      <c r="A42" t="s">
        <v>150</v>
      </c>
      <c r="B42">
        <v>4</v>
      </c>
      <c r="C42">
        <v>42</v>
      </c>
      <c r="D42">
        <f t="shared" si="0"/>
        <v>42</v>
      </c>
    </row>
    <row r="43" spans="1:4">
      <c r="A43" t="s">
        <v>152</v>
      </c>
      <c r="B43">
        <v>115</v>
      </c>
      <c r="C43">
        <v>4</v>
      </c>
      <c r="D43">
        <f t="shared" si="0"/>
        <v>3</v>
      </c>
    </row>
    <row r="44" spans="1:4">
      <c r="A44" t="s">
        <v>154</v>
      </c>
      <c r="B44">
        <v>57</v>
      </c>
      <c r="C44">
        <v>24</v>
      </c>
      <c r="D44">
        <f t="shared" si="0"/>
        <v>23</v>
      </c>
    </row>
    <row r="45" spans="1:4">
      <c r="A45" t="s">
        <v>156</v>
      </c>
      <c r="B45">
        <v>106</v>
      </c>
      <c r="C45">
        <v>6</v>
      </c>
      <c r="D45">
        <f t="shared" si="0"/>
        <v>6</v>
      </c>
    </row>
    <row r="46" spans="1:4">
      <c r="A46" t="s">
        <v>158</v>
      </c>
      <c r="B46">
        <v>25</v>
      </c>
      <c r="C46">
        <v>37</v>
      </c>
      <c r="D46">
        <f t="shared" si="0"/>
        <v>37</v>
      </c>
    </row>
    <row r="47" spans="1:4">
      <c r="A47" t="s">
        <v>160</v>
      </c>
      <c r="B47">
        <v>114</v>
      </c>
      <c r="C47">
        <v>5</v>
      </c>
      <c r="D47">
        <f t="shared" si="0"/>
        <v>5</v>
      </c>
    </row>
    <row r="48" spans="1:4">
      <c r="A48" t="s">
        <v>162</v>
      </c>
      <c r="B48">
        <v>7</v>
      </c>
      <c r="C48">
        <v>41</v>
      </c>
      <c r="D48">
        <f t="shared" si="0"/>
        <v>40</v>
      </c>
    </row>
    <row r="49" spans="1:4">
      <c r="A49" t="s">
        <v>163</v>
      </c>
      <c r="B49">
        <v>7</v>
      </c>
      <c r="C49">
        <v>41</v>
      </c>
      <c r="D49">
        <f t="shared" si="0"/>
        <v>40</v>
      </c>
    </row>
    <row r="50" spans="1:4">
      <c r="A50" t="s">
        <v>164</v>
      </c>
      <c r="B50">
        <v>-7</v>
      </c>
      <c r="C50">
        <v>48</v>
      </c>
      <c r="D50">
        <f t="shared" si="0"/>
        <v>48</v>
      </c>
    </row>
  </sheetData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11"/>
  <sheetViews>
    <sheetView workbookViewId="0">
      <selection activeCell="G6" sqref="G6"/>
    </sheetView>
  </sheetViews>
  <sheetFormatPr defaultColWidth="8.796875" defaultRowHeight="15.6"/>
  <cols>
    <col min="1" max="1" width="10" customWidth="1"/>
    <col min="2" max="2" width="12" customWidth="1"/>
    <col min="3" max="3" width="15" customWidth="1"/>
    <col min="4" max="4" width="24.5" customWidth="1"/>
    <col min="5" max="6" width="19.796875" customWidth="1"/>
    <col min="7" max="7" width="60" customWidth="1"/>
  </cols>
  <sheetData>
    <row r="1" spans="1:7">
      <c r="A1" s="4" t="s">
        <v>226</v>
      </c>
      <c r="B1" s="4" t="s">
        <v>74</v>
      </c>
      <c r="C1" s="4" t="s">
        <v>77</v>
      </c>
      <c r="D1" s="4" t="s">
        <v>227</v>
      </c>
      <c r="E1" s="4" t="s">
        <v>247</v>
      </c>
      <c r="F1" s="4"/>
      <c r="G1" s="8" t="s">
        <v>167</v>
      </c>
    </row>
    <row r="2" spans="1:7">
      <c r="A2">
        <v>1</v>
      </c>
      <c r="B2" t="s">
        <v>82</v>
      </c>
      <c r="C2">
        <v>63.7</v>
      </c>
      <c r="D2">
        <v>106</v>
      </c>
      <c r="E2">
        <f>INDEX(Original_Data!$E$2:$E$50,1)</f>
        <v>106</v>
      </c>
      <c r="F2">
        <f>INDEX($A$1:$E$11,2,3)</f>
        <v>63.7</v>
      </c>
      <c r="G2" s="9" t="str">
        <f>INDEX(Original_Data!$A$2:$A$50,1)</f>
        <v>TRP-00001</v>
      </c>
    </row>
    <row r="3" spans="1:7">
      <c r="A3">
        <v>2</v>
      </c>
      <c r="B3" t="s">
        <v>85</v>
      </c>
      <c r="C3">
        <v>66.2</v>
      </c>
      <c r="D3">
        <v>100</v>
      </c>
      <c r="E3">
        <f>INDEX(Original_Data!$E$2:$E$50,2)</f>
        <v>100</v>
      </c>
      <c r="G3" s="10" t="s">
        <v>170</v>
      </c>
    </row>
    <row r="4" spans="1:7" ht="46.8">
      <c r="A4">
        <v>3</v>
      </c>
      <c r="B4" t="s">
        <v>88</v>
      </c>
      <c r="C4">
        <v>57</v>
      </c>
      <c r="D4">
        <v>91</v>
      </c>
      <c r="E4">
        <f>INDEX(Original_Data!$E$2:$E$50,3)</f>
        <v>91</v>
      </c>
      <c r="G4" s="11" t="s">
        <v>228</v>
      </c>
    </row>
    <row r="5" spans="1:7">
      <c r="A5">
        <v>4</v>
      </c>
      <c r="B5" t="s">
        <v>90</v>
      </c>
      <c r="C5">
        <v>56.7</v>
      </c>
      <c r="D5">
        <v>95</v>
      </c>
      <c r="E5">
        <f>INDEX(Original_Data!$E$2:$E$50,4)</f>
        <v>95</v>
      </c>
    </row>
    <row r="6" spans="1:7">
      <c r="A6">
        <v>5</v>
      </c>
      <c r="B6" t="s">
        <v>92</v>
      </c>
      <c r="C6">
        <v>62</v>
      </c>
      <c r="D6">
        <v>111</v>
      </c>
      <c r="E6">
        <f>INDEX(Original_Data!$E$2:$E$50,5)</f>
        <v>111</v>
      </c>
    </row>
    <row r="7" spans="1:7">
      <c r="A7">
        <v>6</v>
      </c>
      <c r="B7" t="s">
        <v>94</v>
      </c>
      <c r="C7">
        <v>66.2</v>
      </c>
      <c r="D7">
        <v>103</v>
      </c>
      <c r="E7">
        <f>INDEX(Original_Data!$E$2:$E$50,6)</f>
        <v>103</v>
      </c>
    </row>
    <row r="8" spans="1:7">
      <c r="A8">
        <v>7</v>
      </c>
      <c r="B8" t="s">
        <v>96</v>
      </c>
      <c r="C8">
        <v>55.4</v>
      </c>
      <c r="D8">
        <v>92</v>
      </c>
      <c r="E8">
        <f>INDEX(Original_Data!$E$2:$E$50,7)</f>
        <v>92</v>
      </c>
    </row>
    <row r="9" spans="1:7">
      <c r="A9">
        <v>8</v>
      </c>
      <c r="B9" t="s">
        <v>98</v>
      </c>
      <c r="C9">
        <v>50</v>
      </c>
      <c r="D9">
        <v>101</v>
      </c>
      <c r="E9">
        <f>INDEX(Original_Data!$E$2:$E$50,8)</f>
        <v>101</v>
      </c>
    </row>
    <row r="10" spans="1:7">
      <c r="A10">
        <v>9</v>
      </c>
      <c r="B10" t="s">
        <v>100</v>
      </c>
      <c r="C10">
        <v>61.5</v>
      </c>
      <c r="D10">
        <v>93</v>
      </c>
      <c r="E10">
        <f>INDEX(Original_Data!$E$2:$E$50,9)</f>
        <v>93</v>
      </c>
    </row>
    <row r="11" spans="1:7">
      <c r="A11">
        <v>10</v>
      </c>
      <c r="B11" t="s">
        <v>102</v>
      </c>
      <c r="C11">
        <v>36.4</v>
      </c>
      <c r="D11">
        <v>101</v>
      </c>
      <c r="E11">
        <f>INDEX(Original_Data!$E$2:$E$50,10)</f>
        <v>101</v>
      </c>
    </row>
  </sheetData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6"/>
  <sheetViews>
    <sheetView workbookViewId="0">
      <selection activeCell="D9" sqref="D9"/>
    </sheetView>
  </sheetViews>
  <sheetFormatPr defaultColWidth="8.796875" defaultRowHeight="15.6"/>
  <cols>
    <col min="1" max="1" width="14" customWidth="1"/>
    <col min="2" max="2" width="18" customWidth="1"/>
    <col min="3" max="3" width="24" customWidth="1"/>
    <col min="4" max="4" width="60" customWidth="1"/>
  </cols>
  <sheetData>
    <row r="1" spans="1:4">
      <c r="A1" s="4" t="s">
        <v>229</v>
      </c>
      <c r="B1" s="4" t="s">
        <v>230</v>
      </c>
      <c r="C1" t="s">
        <v>244</v>
      </c>
      <c r="D1" s="8" t="s">
        <v>167</v>
      </c>
    </row>
    <row r="2" spans="1:4">
      <c r="A2" t="s">
        <v>82</v>
      </c>
      <c r="B2">
        <v>2.67</v>
      </c>
      <c r="C2">
        <f>INDEX(Original_Data!$G$2:$G$50,MATCH(A2,Original_Data!$A$2:$A$50,0))</f>
        <v>2.67</v>
      </c>
      <c r="D2" s="9">
        <f>INDEX(Original_Data!$H$2:$H$50,MATCH(A2,Original_Data!$A$2:$A$50,0))</f>
        <v>30</v>
      </c>
    </row>
    <row r="3" spans="1:4">
      <c r="A3" t="s">
        <v>85</v>
      </c>
      <c r="B3">
        <v>3.84</v>
      </c>
      <c r="C3">
        <f>INDEX(Original_Data!$G$2:$G$50,MATCH(A3,Original_Data!$A$2:$A$50,0))</f>
        <v>3.84</v>
      </c>
      <c r="D3" s="10" t="s">
        <v>170</v>
      </c>
    </row>
    <row r="4" spans="1:4" ht="46.8">
      <c r="A4" t="s">
        <v>88</v>
      </c>
      <c r="B4">
        <v>3.32</v>
      </c>
      <c r="C4">
        <f>INDEX(Original_Data!$G$2:$G$50,MATCH(A4,Original_Data!$A$2:$A$50,0))</f>
        <v>3.32</v>
      </c>
      <c r="D4" s="11" t="s">
        <v>231</v>
      </c>
    </row>
    <row r="5" spans="1:4">
      <c r="A5" t="s">
        <v>90</v>
      </c>
      <c r="B5">
        <v>3.44</v>
      </c>
      <c r="C5">
        <f>INDEX(Original_Data!$G$2:$G$50,MATCH(A5,Original_Data!$A$2:$A$50,0))</f>
        <v>3.44</v>
      </c>
    </row>
    <row r="6" spans="1:4">
      <c r="A6" t="s">
        <v>92</v>
      </c>
      <c r="B6">
        <v>2.6</v>
      </c>
      <c r="C6">
        <f>INDEX(Original_Data!$G$2:$G$50,MATCH(A6,Original_Data!$A$2:$A$50,0))</f>
        <v>2.6</v>
      </c>
    </row>
  </sheetData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8"/>
  <sheetViews>
    <sheetView workbookViewId="0">
      <selection activeCell="D14" sqref="D14"/>
    </sheetView>
  </sheetViews>
  <sheetFormatPr defaultColWidth="8.796875" defaultRowHeight="15.6"/>
  <cols>
    <col min="1" max="1" width="28" customWidth="1"/>
    <col min="2" max="2" width="18" customWidth="1"/>
    <col min="3" max="3" width="31" customWidth="1"/>
    <col min="4" max="4" width="60" customWidth="1"/>
  </cols>
  <sheetData>
    <row r="1" spans="1:4">
      <c r="A1" s="4" t="s">
        <v>232</v>
      </c>
      <c r="B1" s="4" t="s">
        <v>233</v>
      </c>
      <c r="C1" t="s">
        <v>246</v>
      </c>
      <c r="D1" s="8" t="s">
        <v>234</v>
      </c>
    </row>
    <row r="2" spans="1:4" ht="17.399999999999999">
      <c r="A2" t="s">
        <v>235</v>
      </c>
      <c r="B2">
        <v>3.43</v>
      </c>
      <c r="C2" s="14">
        <f>AVERAGE(Original_Data!$G$2:$G$50)</f>
        <v>3.4302040816326533</v>
      </c>
      <c r="D2" s="9">
        <f>AVERAGE(Original_Data!$H$2:$H$50)</f>
        <v>55.204081632653065</v>
      </c>
    </row>
    <row r="3" spans="1:4">
      <c r="A3" t="s">
        <v>236</v>
      </c>
      <c r="B3">
        <v>4.37</v>
      </c>
      <c r="C3">
        <f>MAX(Original_Data!$G$2:$G$50)</f>
        <v>4.37</v>
      </c>
      <c r="D3" s="9">
        <f>MAX(Original_Data!$H$2:$H$50)</f>
        <v>117</v>
      </c>
    </row>
    <row r="4" spans="1:4" ht="17.399999999999999">
      <c r="A4" t="s">
        <v>237</v>
      </c>
      <c r="B4">
        <v>2.57</v>
      </c>
      <c r="C4" s="14">
        <f>MIN(Original_Data!$G$2:$G$50)</f>
        <v>2.57</v>
      </c>
      <c r="D4" s="9">
        <f>MIN(Original_Data!$H$2:$H$50)</f>
        <v>-8</v>
      </c>
    </row>
    <row r="5" spans="1:4">
      <c r="A5" t="s">
        <v>238</v>
      </c>
      <c r="B5">
        <v>55.2</v>
      </c>
      <c r="C5">
        <f>AVERAGE(Original_Data!$H$2:$H$50)</f>
        <v>55.204081632653065</v>
      </c>
      <c r="D5" s="9">
        <f>COUNTA(Original_Data!$A$2:$A$50)</f>
        <v>49</v>
      </c>
    </row>
    <row r="6" spans="1:4">
      <c r="A6" t="s">
        <v>239</v>
      </c>
      <c r="B6">
        <v>117</v>
      </c>
      <c r="C6">
        <f>MAX(Original_Data!$H$2:$H$50)</f>
        <v>117</v>
      </c>
      <c r="D6" s="10" t="s">
        <v>170</v>
      </c>
    </row>
    <row r="7" spans="1:4" ht="46.8">
      <c r="A7" t="s">
        <v>240</v>
      </c>
      <c r="B7">
        <v>-8</v>
      </c>
      <c r="C7">
        <f>MIN(Original_Data!$H$2:$H$50)</f>
        <v>-8</v>
      </c>
      <c r="D7" s="11" t="s">
        <v>241</v>
      </c>
    </row>
    <row r="8" spans="1:4">
      <c r="A8" t="s">
        <v>242</v>
      </c>
      <c r="B8">
        <v>49</v>
      </c>
      <c r="C8">
        <f>COUNTA(Original_Data!$A$2:$A$50)</f>
        <v>49</v>
      </c>
    </row>
  </sheetData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0C21F4-3513-44DF-9A4B-077BB1FF15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README_FIRST</vt:lpstr>
      <vt:lpstr>Functions_Guide</vt:lpstr>
      <vt:lpstr>Pivot</vt:lpstr>
      <vt:lpstr>Pivot_and Charts</vt:lpstr>
      <vt:lpstr>Original_Data</vt:lpstr>
      <vt:lpstr>Power_Query_inserting text file</vt:lpstr>
      <vt:lpstr>CONCATENATE</vt:lpstr>
      <vt:lpstr>CHOOSE_FuelCategory</vt:lpstr>
      <vt:lpstr>MATCH_Ranking</vt:lpstr>
      <vt:lpstr>INDEX_Extract</vt:lpstr>
      <vt:lpstr>INDEX_MATCH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Srijan Biswas</dc:creator>
  <cp:lastModifiedBy>INS Analytics</cp:lastModifiedBy>
  <dcterms:created xsi:type="dcterms:W3CDTF">2026-02-22T14:35:11Z</dcterms:created>
  <dcterms:modified xsi:type="dcterms:W3CDTF">2026-02-25T14:31:44Z</dcterms:modified>
</cp:coreProperties>
</file>