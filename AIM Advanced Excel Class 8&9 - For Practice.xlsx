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Insa_TrainingRelated\AdvancedExcel\ExcelWorksheet\"/>
    </mc:Choice>
  </mc:AlternateContent>
  <bookViews>
    <workbookView xWindow="480" yWindow="405" windowWidth="19875" windowHeight="7200" tabRatio="679" firstSheet="3" activeTab="10"/>
  </bookViews>
  <sheets>
    <sheet name="CONCATENATE" sheetId="1" r:id="rId1"/>
    <sheet name="CHOOSE" sheetId="2" r:id="rId2"/>
    <sheet name="Sports" sheetId="3" r:id="rId3"/>
    <sheet name="MATCH" sheetId="4" r:id="rId4"/>
    <sheet name="INDEX" sheetId="5" r:id="rId5"/>
    <sheet name="INDEX2" sheetId="6" r:id="rId6"/>
    <sheet name="Gradation" sheetId="7" r:id="rId7"/>
    <sheet name="VLOOKUP" sheetId="8" r:id="rId8"/>
    <sheet name="HLOOkup" sheetId="15" r:id="rId9"/>
    <sheet name="Car Service" sheetId="9" r:id="rId10"/>
    <sheet name="Depreciation" sheetId="12" r:id="rId11"/>
    <sheet name="Sheet1" sheetId="16" r:id="rId12"/>
    <sheet name="Sheet2" sheetId="17" r:id="rId13"/>
  </sheets>
  <definedNames>
    <definedName name="BOX">INDEX2!$B$4:$E$10,INDEX2!$B$13:$E$19</definedName>
    <definedName name="CountryData">INDEX2!$C$5:$E$10,INDEX2!$C$14:$E$19</definedName>
    <definedName name="CountryInfo">INDEX!$D$13:$F$18</definedName>
    <definedName name="CustomerTable">VLOOKUP!$L$1:$Q$25</definedName>
    <definedName name="ICCRankings">INDEX!$C$23:$E$28</definedName>
    <definedName name="MyData">Sheet1!$A$1:$E$6</definedName>
    <definedName name="TD">Sheet1!$A$9:$G$13</definedName>
  </definedNames>
  <calcPr calcId="152511"/>
</workbook>
</file>

<file path=xl/calcChain.xml><?xml version="1.0" encoding="utf-8"?>
<calcChain xmlns="http://schemas.openxmlformats.org/spreadsheetml/2006/main">
  <c r="F62" i="12" l="1"/>
  <c r="F61" i="12"/>
  <c r="F60" i="12"/>
  <c r="F59" i="12"/>
  <c r="F58" i="12"/>
  <c r="F57" i="12"/>
  <c r="D41" i="12"/>
  <c r="D42" i="12"/>
  <c r="D43" i="12"/>
  <c r="D44" i="12"/>
  <c r="D45" i="12"/>
  <c r="D46" i="12"/>
  <c r="D48" i="12"/>
  <c r="D63" i="12"/>
  <c r="F52" i="12"/>
  <c r="E41" i="12"/>
  <c r="F9" i="12"/>
  <c r="F8" i="12"/>
  <c r="L6" i="12"/>
  <c r="L5" i="12"/>
  <c r="C16" i="16"/>
  <c r="D16" i="16"/>
  <c r="E16" i="16"/>
  <c r="F16" i="16"/>
  <c r="G16" i="16"/>
  <c r="B16" i="16"/>
  <c r="H2" i="8"/>
  <c r="B20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B16" i="15"/>
  <c r="C16" i="15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3" i="8"/>
  <c r="L16" i="5"/>
  <c r="M13" i="5"/>
  <c r="M12" i="5"/>
  <c r="E52" i="4"/>
  <c r="D52" i="4"/>
  <c r="C52" i="4"/>
  <c r="C50" i="4"/>
  <c r="E7" i="3"/>
  <c r="E5" i="3"/>
  <c r="E6" i="3"/>
  <c r="E8" i="3"/>
  <c r="E9" i="3"/>
  <c r="E10" i="3"/>
  <c r="E11" i="3"/>
  <c r="E12" i="3"/>
  <c r="E13" i="3"/>
  <c r="E4" i="3"/>
  <c r="C18" i="2"/>
  <c r="C16" i="2"/>
  <c r="I19" i="1"/>
  <c r="G26" i="1"/>
  <c r="G25" i="1"/>
  <c r="G22" i="1"/>
  <c r="G21" i="1"/>
  <c r="G20" i="1"/>
  <c r="G19" i="1"/>
  <c r="I50" i="12"/>
  <c r="J46" i="12"/>
  <c r="D56" i="12"/>
  <c r="D55" i="12"/>
  <c r="J21" i="12"/>
  <c r="J22" i="12"/>
  <c r="J23" i="12"/>
  <c r="J24" i="12"/>
  <c r="J25" i="12"/>
  <c r="J20" i="12"/>
  <c r="G20" i="12"/>
  <c r="D16" i="15"/>
  <c r="E16" i="15"/>
  <c r="F16" i="15"/>
  <c r="G16" i="15"/>
  <c r="H16" i="15"/>
  <c r="I16" i="15"/>
  <c r="J16" i="15"/>
  <c r="K16" i="15"/>
  <c r="L16" i="15"/>
  <c r="M16" i="15"/>
  <c r="N16" i="15"/>
  <c r="O16" i="15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" i="8"/>
  <c r="J3" i="7"/>
  <c r="K5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3" i="7"/>
  <c r="I14" i="6"/>
  <c r="K15" i="5"/>
  <c r="K9" i="5"/>
  <c r="K2" i="5"/>
  <c r="E48" i="4"/>
  <c r="E47" i="4"/>
  <c r="D48" i="4"/>
  <c r="D47" i="4"/>
  <c r="C48" i="4"/>
  <c r="C47" i="4"/>
  <c r="J5" i="3"/>
  <c r="J6" i="3"/>
  <c r="J7" i="3"/>
  <c r="J8" i="3"/>
  <c r="J9" i="3"/>
  <c r="J10" i="3"/>
  <c r="J11" i="3"/>
  <c r="J12" i="3"/>
  <c r="J13" i="3"/>
  <c r="J4" i="3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4" i="3"/>
  <c r="I4" i="3" s="1"/>
  <c r="D17" i="2"/>
  <c r="D16" i="2"/>
  <c r="D15" i="2"/>
  <c r="D14" i="2"/>
  <c r="F22" i="1"/>
  <c r="F21" i="1"/>
  <c r="F20" i="1"/>
  <c r="F19" i="1"/>
  <c r="G21" i="12"/>
  <c r="G22" i="12"/>
  <c r="G23" i="12"/>
  <c r="G24" i="12"/>
  <c r="G25" i="12"/>
  <c r="I51" i="12"/>
  <c r="L40" i="12"/>
  <c r="M40" i="12" s="1"/>
  <c r="L41" i="12" s="1"/>
  <c r="D51" i="12"/>
  <c r="M41" i="12"/>
  <c r="J42" i="12"/>
  <c r="J43" i="12"/>
  <c r="J44" i="12"/>
  <c r="J45" i="12"/>
  <c r="J41" i="12"/>
  <c r="G7" i="12"/>
  <c r="J5" i="12" s="1"/>
  <c r="J6" i="12" s="1"/>
  <c r="J7" i="12" s="1"/>
  <c r="J8" i="12" s="1"/>
  <c r="J9" i="12" s="1"/>
  <c r="F2" i="8"/>
  <c r="E44" i="12"/>
  <c r="D38" i="12"/>
  <c r="D57" i="12" s="1"/>
  <c r="D62" i="12" l="1"/>
  <c r="G44" i="12"/>
  <c r="G45" i="12"/>
  <c r="G42" i="12"/>
  <c r="G46" i="12"/>
  <c r="E42" i="12"/>
  <c r="G41" i="12"/>
  <c r="G43" i="12"/>
  <c r="D61" i="12"/>
  <c r="D60" i="12"/>
  <c r="L42" i="12"/>
  <c r="M42" i="12"/>
  <c r="I25" i="12"/>
  <c r="I21" i="12"/>
  <c r="D59" i="12"/>
  <c r="G27" i="12"/>
  <c r="D58" i="12"/>
  <c r="M43" i="12"/>
  <c r="E43" i="12"/>
  <c r="E45" i="12"/>
  <c r="D28" i="12"/>
  <c r="E23" i="12" s="1"/>
  <c r="E46" i="12"/>
  <c r="G7" i="1"/>
  <c r="G6" i="1"/>
  <c r="G5" i="1"/>
  <c r="G4" i="1"/>
  <c r="E48" i="12" l="1"/>
  <c r="D49" i="12" s="1"/>
  <c r="I22" i="12"/>
  <c r="I20" i="12"/>
  <c r="I23" i="12"/>
  <c r="I24" i="12"/>
  <c r="L43" i="12"/>
  <c r="M44" i="12" s="1"/>
  <c r="E24" i="12"/>
  <c r="E25" i="12"/>
  <c r="E20" i="12"/>
  <c r="E22" i="12"/>
  <c r="E21" i="12"/>
  <c r="L44" i="12" l="1"/>
  <c r="L45" i="12" l="1"/>
  <c r="M46" i="12" s="1"/>
  <c r="M45" i="12"/>
  <c r="L46" i="12" s="1"/>
</calcChain>
</file>

<file path=xl/sharedStrings.xml><?xml version="1.0" encoding="utf-8"?>
<sst xmlns="http://schemas.openxmlformats.org/spreadsheetml/2006/main" count="978" uniqueCount="325">
  <si>
    <t>Text 1</t>
  </si>
  <si>
    <t>Text 2</t>
  </si>
  <si>
    <t>Text 3</t>
  </si>
  <si>
    <t>Army</t>
  </si>
  <si>
    <t>Institute</t>
  </si>
  <si>
    <t>AIM</t>
  </si>
  <si>
    <t>Kolkata</t>
  </si>
  <si>
    <t>Command</t>
  </si>
  <si>
    <t>Hospital</t>
  </si>
  <si>
    <t>Management</t>
  </si>
  <si>
    <t>Bob</t>
  </si>
  <si>
    <t>Williams</t>
  </si>
  <si>
    <t>The Formula</t>
  </si>
  <si>
    <t xml:space="preserve"> =CONCATENATE(C4,D4)</t>
  </si>
  <si>
    <t xml:space="preserve"> =CONCATENATE("@",C5," ",D5)</t>
  </si>
  <si>
    <t xml:space="preserve"> =CONCATENATE(E6,D6,C6)</t>
  </si>
  <si>
    <t xml:space="preserve"> =CONCATENATE(D7,",",C7)</t>
  </si>
  <si>
    <t>The Output</t>
  </si>
  <si>
    <t xml:space="preserve"> =C12&amp;D12</t>
  </si>
  <si>
    <t xml:space="preserve"> ="@"&amp;C13&amp;" "&amp;D13</t>
  </si>
  <si>
    <t xml:space="preserve"> =E14&amp;D14&amp;C14</t>
  </si>
  <si>
    <t xml:space="preserve"> =D15&amp;","&amp;C15</t>
  </si>
  <si>
    <t>Index Value</t>
  </si>
  <si>
    <t xml:space="preserve"> =CHOOSE(B4,"Alok","Ronty","Suman")</t>
  </si>
  <si>
    <t xml:space="preserve"> =CHOOSE(B5,"Alok","Ronty","Suman")</t>
  </si>
  <si>
    <t xml:space="preserve"> =CHOOSE(B6,"Alok","Ronty","Suman")</t>
  </si>
  <si>
    <t xml:space="preserve"> =CHOOSE(B7,10%,15%,18%)</t>
  </si>
  <si>
    <t xml:space="preserve"> =CHOOSE(B8,10%,15%,18%)</t>
  </si>
  <si>
    <t xml:space="preserve"> =CHOOSE(B9,10%,15%,18%)</t>
  </si>
  <si>
    <t>The output</t>
  </si>
  <si>
    <t>Students Name</t>
  </si>
  <si>
    <t>Nitin</t>
  </si>
  <si>
    <t>Suresh</t>
  </si>
  <si>
    <t>Anamika</t>
  </si>
  <si>
    <t>Mohit</t>
  </si>
  <si>
    <t>Rupesh</t>
  </si>
  <si>
    <t>Jolly</t>
  </si>
  <si>
    <t>Nitu</t>
  </si>
  <si>
    <t>Jyoti</t>
  </si>
  <si>
    <t>Samiresh</t>
  </si>
  <si>
    <t>Sahana</t>
  </si>
  <si>
    <t>Time</t>
  </si>
  <si>
    <t>Position</t>
  </si>
  <si>
    <t>Medal</t>
  </si>
  <si>
    <t>Ascending Array</t>
  </si>
  <si>
    <t>Descending Array</t>
  </si>
  <si>
    <t>Not Exact Match</t>
  </si>
  <si>
    <t>Look Up Value</t>
  </si>
  <si>
    <t>Output</t>
  </si>
  <si>
    <t>Formula</t>
  </si>
  <si>
    <r>
      <t xml:space="preserve"> =MATCH(</t>
    </r>
    <r>
      <rPr>
        <b/>
        <sz val="14"/>
        <color rgb="FF002060"/>
        <rFont val="Garamond"/>
        <family val="1"/>
      </rPr>
      <t>C11</t>
    </r>
    <r>
      <rPr>
        <sz val="14"/>
        <color theme="1"/>
        <rFont val="Garamond"/>
        <family val="1"/>
      </rPr>
      <t>,</t>
    </r>
    <r>
      <rPr>
        <b/>
        <sz val="14"/>
        <color theme="5" tint="-0.249977111117893"/>
        <rFont val="Garamond"/>
        <family val="1"/>
      </rPr>
      <t>C4:C9</t>
    </r>
    <r>
      <rPr>
        <sz val="14"/>
        <color theme="1"/>
        <rFont val="Garamond"/>
        <family val="1"/>
      </rPr>
      <t>,</t>
    </r>
    <r>
      <rPr>
        <b/>
        <sz val="14"/>
        <color theme="9" tint="-0.249977111117893"/>
        <rFont val="Garamond"/>
        <family val="1"/>
      </rPr>
      <t>0</t>
    </r>
    <r>
      <rPr>
        <sz val="14"/>
        <color theme="1"/>
        <rFont val="Garamond"/>
        <family val="1"/>
      </rPr>
      <t>)</t>
    </r>
  </si>
  <si>
    <r>
      <t xml:space="preserve"> =MATCH(</t>
    </r>
    <r>
      <rPr>
        <b/>
        <sz val="14"/>
        <color rgb="FF002060"/>
        <rFont val="Garamond"/>
        <family val="1"/>
      </rPr>
      <t>C11</t>
    </r>
    <r>
      <rPr>
        <sz val="14"/>
        <color theme="1"/>
        <rFont val="Garamond"/>
        <family val="1"/>
      </rPr>
      <t>,</t>
    </r>
    <r>
      <rPr>
        <b/>
        <sz val="14"/>
        <color theme="5" tint="-0.249977111117893"/>
        <rFont val="Garamond"/>
        <family val="1"/>
      </rPr>
      <t>C4:C9</t>
    </r>
    <r>
      <rPr>
        <sz val="14"/>
        <color theme="1"/>
        <rFont val="Garamond"/>
        <family val="1"/>
      </rPr>
      <t>,</t>
    </r>
    <r>
      <rPr>
        <b/>
        <sz val="14"/>
        <color theme="9" tint="-0.249977111117893"/>
        <rFont val="Garamond"/>
        <family val="1"/>
      </rPr>
      <t>1</t>
    </r>
    <r>
      <rPr>
        <sz val="14"/>
        <color theme="1"/>
        <rFont val="Garamond"/>
        <family val="1"/>
      </rPr>
      <t>)</t>
    </r>
  </si>
  <si>
    <r>
      <t xml:space="preserve"> =MATCH(</t>
    </r>
    <r>
      <rPr>
        <b/>
        <sz val="14"/>
        <color rgb="FF002060"/>
        <rFont val="Garamond"/>
        <family val="1"/>
      </rPr>
      <t>C11</t>
    </r>
    <r>
      <rPr>
        <sz val="14"/>
        <color theme="1"/>
        <rFont val="Garamond"/>
        <family val="1"/>
      </rPr>
      <t>,</t>
    </r>
    <r>
      <rPr>
        <b/>
        <sz val="14"/>
        <color theme="5" tint="-0.249977111117893"/>
        <rFont val="Garamond"/>
        <family val="1"/>
      </rPr>
      <t>C4:C9</t>
    </r>
    <r>
      <rPr>
        <sz val="14"/>
        <color theme="1"/>
        <rFont val="Garamond"/>
        <family val="1"/>
      </rPr>
      <t>,-</t>
    </r>
    <r>
      <rPr>
        <b/>
        <sz val="14"/>
        <color theme="9" tint="-0.249977111117893"/>
        <rFont val="Garamond"/>
        <family val="1"/>
      </rPr>
      <t>1</t>
    </r>
    <r>
      <rPr>
        <sz val="14"/>
        <color theme="1"/>
        <rFont val="Garamond"/>
        <family val="1"/>
      </rPr>
      <t>)</t>
    </r>
  </si>
  <si>
    <t>List</t>
  </si>
  <si>
    <t>Red</t>
  </si>
  <si>
    <t>Blue</t>
  </si>
  <si>
    <t>Green</t>
  </si>
  <si>
    <t>Yellow</t>
  </si>
  <si>
    <t>Cordinate: Type 1, 2, 3, or 4</t>
  </si>
  <si>
    <t>The Colour is:</t>
  </si>
  <si>
    <r>
      <t xml:space="preserve"> =INDEX(</t>
    </r>
    <r>
      <rPr>
        <b/>
        <sz val="11"/>
        <color rgb="FF002060"/>
        <rFont val="Garamond"/>
        <family val="1"/>
      </rPr>
      <t>C3:C6</t>
    </r>
    <r>
      <rPr>
        <sz val="11"/>
        <color theme="1"/>
        <rFont val="Garamond"/>
        <family val="1"/>
      </rPr>
      <t>,</t>
    </r>
    <r>
      <rPr>
        <b/>
        <sz val="11"/>
        <color rgb="FFC00000"/>
        <rFont val="Garamond"/>
        <family val="1"/>
      </rPr>
      <t>F2</t>
    </r>
    <r>
      <rPr>
        <sz val="11"/>
        <color theme="1"/>
        <rFont val="Garamond"/>
        <family val="1"/>
      </rPr>
      <t>)</t>
    </r>
  </si>
  <si>
    <t>Country</t>
  </si>
  <si>
    <t>Currency</t>
  </si>
  <si>
    <t>Population</t>
  </si>
  <si>
    <t>England</t>
  </si>
  <si>
    <t>London</t>
  </si>
  <si>
    <t>Spain</t>
  </si>
  <si>
    <t>Barcelona</t>
  </si>
  <si>
    <t>Index for Country</t>
  </si>
  <si>
    <t>Inndex for Matric</t>
  </si>
  <si>
    <t>GBP</t>
  </si>
  <si>
    <t>India</t>
  </si>
  <si>
    <t>INR</t>
  </si>
  <si>
    <t>Euro</t>
  </si>
  <si>
    <t>USA</t>
  </si>
  <si>
    <t>USD</t>
  </si>
  <si>
    <t>New Delhi</t>
  </si>
  <si>
    <t>Washington</t>
  </si>
  <si>
    <t>Continent</t>
  </si>
  <si>
    <t>Japan</t>
  </si>
  <si>
    <t>Yen</t>
  </si>
  <si>
    <t>Tokyo</t>
  </si>
  <si>
    <t>Europe</t>
  </si>
  <si>
    <t>Asia</t>
  </si>
  <si>
    <t>North America</t>
  </si>
  <si>
    <t>Canada</t>
  </si>
  <si>
    <t>CAD</t>
  </si>
  <si>
    <t>Toronto</t>
  </si>
  <si>
    <r>
      <t xml:space="preserve"> =INDEX(</t>
    </r>
    <r>
      <rPr>
        <b/>
        <sz val="11"/>
        <color rgb="FF002060"/>
        <rFont val="Garamond"/>
        <family val="1"/>
      </rPr>
      <t>D13:F18</t>
    </r>
    <r>
      <rPr>
        <sz val="11"/>
        <color theme="1"/>
        <rFont val="Garamond"/>
        <family val="1"/>
      </rPr>
      <t>,</t>
    </r>
    <r>
      <rPr>
        <b/>
        <sz val="11"/>
        <color rgb="FFC00000"/>
        <rFont val="Garamond"/>
        <family val="1"/>
      </rPr>
      <t>I12</t>
    </r>
    <r>
      <rPr>
        <sz val="11"/>
        <color theme="1"/>
        <rFont val="Garamond"/>
        <family val="1"/>
      </rPr>
      <t>,</t>
    </r>
    <r>
      <rPr>
        <b/>
        <sz val="11"/>
        <color rgb="FFFFC000"/>
        <rFont val="Garamond"/>
        <family val="1"/>
      </rPr>
      <t>I13</t>
    </r>
    <r>
      <rPr>
        <sz val="11"/>
        <color theme="1"/>
        <rFont val="Garamond"/>
        <family val="1"/>
      </rPr>
      <t>)</t>
    </r>
  </si>
  <si>
    <t>The Result</t>
  </si>
  <si>
    <r>
      <t xml:space="preserve"> =INDEX(</t>
    </r>
    <r>
      <rPr>
        <b/>
        <sz val="11"/>
        <color rgb="FF002060"/>
        <rFont val="Garamond"/>
        <family val="1"/>
      </rPr>
      <t>CountryInfo</t>
    </r>
    <r>
      <rPr>
        <sz val="11"/>
        <color theme="1"/>
        <rFont val="Garamond"/>
        <family val="1"/>
      </rPr>
      <t>,</t>
    </r>
    <r>
      <rPr>
        <b/>
        <sz val="11"/>
        <color rgb="FFC00000"/>
        <rFont val="Garamond"/>
        <family val="1"/>
      </rPr>
      <t>I12</t>
    </r>
    <r>
      <rPr>
        <sz val="11"/>
        <color theme="1"/>
        <rFont val="Garamond"/>
        <family val="1"/>
      </rPr>
      <t>,</t>
    </r>
    <r>
      <rPr>
        <b/>
        <sz val="11"/>
        <color rgb="FFFFC000"/>
        <rFont val="Garamond"/>
        <family val="1"/>
      </rPr>
      <t>I13</t>
    </r>
    <r>
      <rPr>
        <sz val="11"/>
        <color theme="1"/>
        <rFont val="Garamond"/>
        <family val="1"/>
      </rPr>
      <t>)</t>
    </r>
  </si>
  <si>
    <t>Capital</t>
  </si>
  <si>
    <t>Government</t>
  </si>
  <si>
    <t>Japanese</t>
  </si>
  <si>
    <t>English</t>
  </si>
  <si>
    <t>Spanish</t>
  </si>
  <si>
    <t>Hindi</t>
  </si>
  <si>
    <t>Language</t>
  </si>
  <si>
    <t>Constitutional monarchy</t>
  </si>
  <si>
    <t>Federal Republic</t>
  </si>
  <si>
    <t>36 MM</t>
  </si>
  <si>
    <t>324 MM</t>
  </si>
  <si>
    <t>46 MM</t>
  </si>
  <si>
    <t>65 MM</t>
  </si>
  <si>
    <t>126 MM</t>
  </si>
  <si>
    <t>1319 MM</t>
  </si>
  <si>
    <t>Inndex for Table</t>
  </si>
  <si>
    <r>
      <t xml:space="preserve"> =INDEX(</t>
    </r>
    <r>
      <rPr>
        <b/>
        <sz val="11"/>
        <color rgb="FF002060"/>
        <rFont val="Garamond"/>
        <family val="1"/>
      </rPr>
      <t>CountryData</t>
    </r>
    <r>
      <rPr>
        <sz val="11"/>
        <color theme="1"/>
        <rFont val="Garamond"/>
        <family val="1"/>
      </rPr>
      <t>,</t>
    </r>
    <r>
      <rPr>
        <b/>
        <sz val="11"/>
        <color rgb="FFC00000"/>
        <rFont val="Garamond"/>
        <family val="1"/>
      </rPr>
      <t>J4</t>
    </r>
    <r>
      <rPr>
        <sz val="11"/>
        <color theme="1"/>
        <rFont val="Garamond"/>
        <family val="1"/>
      </rPr>
      <t>,</t>
    </r>
    <r>
      <rPr>
        <b/>
        <sz val="11"/>
        <color rgb="FFFFC000"/>
        <rFont val="Garamond"/>
        <family val="1"/>
      </rPr>
      <t xml:space="preserve">J5, </t>
    </r>
    <r>
      <rPr>
        <b/>
        <sz val="11"/>
        <color theme="6" tint="-0.499984740745262"/>
        <rFont val="Garamond"/>
        <family val="1"/>
      </rPr>
      <t>J6</t>
    </r>
    <r>
      <rPr>
        <sz val="11"/>
        <color theme="1"/>
        <rFont val="Garamond"/>
        <family val="1"/>
      </rPr>
      <t>)</t>
    </r>
  </si>
  <si>
    <t>#</t>
  </si>
  <si>
    <t>Name</t>
  </si>
  <si>
    <t>Student ID</t>
  </si>
  <si>
    <t>Sem 1</t>
  </si>
  <si>
    <t>Sem 2</t>
  </si>
  <si>
    <t>Sem 3</t>
  </si>
  <si>
    <t>Sem 4</t>
  </si>
  <si>
    <t>Average</t>
  </si>
  <si>
    <t>Akash Majumder</t>
  </si>
  <si>
    <t>MBA16BATCH01</t>
  </si>
  <si>
    <t>Debjit Nath</t>
  </si>
  <si>
    <t>MBA16BATCH02</t>
  </si>
  <si>
    <t>Gunjan Singh</t>
  </si>
  <si>
    <t>MBA16BATCH03</t>
  </si>
  <si>
    <t>Jayesh Verma</t>
  </si>
  <si>
    <t>MBA16BATCH04</t>
  </si>
  <si>
    <t>Kushal Jaiswal</t>
  </si>
  <si>
    <t>MBA16BATCH05</t>
  </si>
  <si>
    <t>Nimisha Sahal</t>
  </si>
  <si>
    <t>MBA16BATCH06</t>
  </si>
  <si>
    <t>Olivia Chowdhury</t>
  </si>
  <si>
    <t>MBA16BATCH07</t>
  </si>
  <si>
    <t>Riti Nag</t>
  </si>
  <si>
    <t>MBA16BATCH08</t>
  </si>
  <si>
    <t>Sambeet Das</t>
  </si>
  <si>
    <t>MBA16BATCH09</t>
  </si>
  <si>
    <t>Shayan sarkar</t>
  </si>
  <si>
    <t>MBA16BATCH10</t>
  </si>
  <si>
    <t>Shreya Jain</t>
  </si>
  <si>
    <t>MBA16BATCH11</t>
  </si>
  <si>
    <t>Simpoo Kumar Shaw</t>
  </si>
  <si>
    <t>MBA16BATCH12</t>
  </si>
  <si>
    <t>Sourav Chakraborty</t>
  </si>
  <si>
    <t>MBA16BATCH13</t>
  </si>
  <si>
    <t>Abhishek Srivastava</t>
  </si>
  <si>
    <t>MBA16BATCH14</t>
  </si>
  <si>
    <t>Bibaswan Dey</t>
  </si>
  <si>
    <t>MBA16BATCH15</t>
  </si>
  <si>
    <t>Dhruv Chokorvorty</t>
  </si>
  <si>
    <t>MBA16BATCH16</t>
  </si>
  <si>
    <t>Pratik Roy</t>
  </si>
  <si>
    <t>MBA16BATCH17</t>
  </si>
  <si>
    <t>Roshmi Lamba</t>
  </si>
  <si>
    <t>MBA16BATCH18</t>
  </si>
  <si>
    <t>Siddarth Srivastava</t>
  </si>
  <si>
    <t>MBA16BATCH19</t>
  </si>
  <si>
    <t>Siddharth S. Mishra</t>
  </si>
  <si>
    <t>MBA16BATCH20</t>
  </si>
  <si>
    <t>Sparsh Dwivedi</t>
  </si>
  <si>
    <t>MBA16BATCH21</t>
  </si>
  <si>
    <t>Poor</t>
  </si>
  <si>
    <t>Fair</t>
  </si>
  <si>
    <t>Good</t>
  </si>
  <si>
    <t>Very Good</t>
  </si>
  <si>
    <t>Excellent</t>
  </si>
  <si>
    <t>Grade</t>
  </si>
  <si>
    <t>Marks</t>
  </si>
  <si>
    <r>
      <t xml:space="preserve"> =</t>
    </r>
    <r>
      <rPr>
        <b/>
        <sz val="11"/>
        <color rgb="FF002060"/>
        <rFont val="Garamond"/>
        <family val="1"/>
      </rPr>
      <t>INDEX</t>
    </r>
    <r>
      <rPr>
        <sz val="11"/>
        <rFont val="Garamond"/>
        <family val="1"/>
      </rPr>
      <t>(</t>
    </r>
    <r>
      <rPr>
        <b/>
        <sz val="11"/>
        <rFont val="Garamond"/>
        <family val="1"/>
      </rPr>
      <t>$P$3:$P$7</t>
    </r>
    <r>
      <rPr>
        <sz val="11"/>
        <rFont val="Garamond"/>
        <family val="1"/>
      </rPr>
      <t>,</t>
    </r>
    <r>
      <rPr>
        <b/>
        <sz val="11"/>
        <color rgb="FFC00000"/>
        <rFont val="Garamond"/>
        <family val="1"/>
      </rPr>
      <t>MATCH(I3,$O$3:$O$7,1)</t>
    </r>
    <r>
      <rPr>
        <sz val="11"/>
        <rFont val="Garamond"/>
        <family val="1"/>
      </rPr>
      <t>)</t>
    </r>
  </si>
  <si>
    <t>Customer Name</t>
  </si>
  <si>
    <t>Segment</t>
  </si>
  <si>
    <t>City</t>
  </si>
  <si>
    <t>State</t>
  </si>
  <si>
    <t>Region</t>
  </si>
  <si>
    <t>Category</t>
  </si>
  <si>
    <t>Sub-Category</t>
  </si>
  <si>
    <t>Claire Gute</t>
  </si>
  <si>
    <t>Consumer</t>
  </si>
  <si>
    <t>Chicago</t>
  </si>
  <si>
    <t>Illinois</t>
  </si>
  <si>
    <t>Central</t>
  </si>
  <si>
    <t>Technology</t>
  </si>
  <si>
    <t>Copiers</t>
  </si>
  <si>
    <t>Office Supplies</t>
  </si>
  <si>
    <t>Paper</t>
  </si>
  <si>
    <t>Darrin Van Huff</t>
  </si>
  <si>
    <t>Corporate</t>
  </si>
  <si>
    <t>San Francisco</t>
  </si>
  <si>
    <t>California</t>
  </si>
  <si>
    <t>West</t>
  </si>
  <si>
    <t>Machines</t>
  </si>
  <si>
    <t>Sean O'Donnell</t>
  </si>
  <si>
    <t>Jacksonville</t>
  </si>
  <si>
    <t>Florida</t>
  </si>
  <si>
    <t>South</t>
  </si>
  <si>
    <t>Texas</t>
  </si>
  <si>
    <t>Fasteners</t>
  </si>
  <si>
    <t>Brosina Hoffman</t>
  </si>
  <si>
    <t>Anaheim</t>
  </si>
  <si>
    <t>Appliances</t>
  </si>
  <si>
    <t>Furniture</t>
  </si>
  <si>
    <t>Furnishings</t>
  </si>
  <si>
    <t>Los Angeles</t>
  </si>
  <si>
    <t>Tables</t>
  </si>
  <si>
    <t>Storage</t>
  </si>
  <si>
    <t>Labels</t>
  </si>
  <si>
    <t>Andrew Allen</t>
  </si>
  <si>
    <t>Tampa</t>
  </si>
  <si>
    <t>Accessories</t>
  </si>
  <si>
    <t>Irene Maddox</t>
  </si>
  <si>
    <t>Harold Pawlan</t>
  </si>
  <si>
    <t>Home Office</t>
  </si>
  <si>
    <t>Seattle</t>
  </si>
  <si>
    <t>Binders</t>
  </si>
  <si>
    <t>Pete Kriz</t>
  </si>
  <si>
    <t>Alejandro Grove</t>
  </si>
  <si>
    <t>Zuschuss Donatelli</t>
  </si>
  <si>
    <t>Art</t>
  </si>
  <si>
    <t>Envelopes</t>
  </si>
  <si>
    <t>Ken Black</t>
  </si>
  <si>
    <t>New York City</t>
  </si>
  <si>
    <t>New York</t>
  </si>
  <si>
    <t>East</t>
  </si>
  <si>
    <t>Sandra Flanagan</t>
  </si>
  <si>
    <t>Emily Burns</t>
  </si>
  <si>
    <t>Phones</t>
  </si>
  <si>
    <t>Eric Hoffmann</t>
  </si>
  <si>
    <t>Marysville</t>
  </si>
  <si>
    <t>Long Beach</t>
  </si>
  <si>
    <t>Tracy Blumstein</t>
  </si>
  <si>
    <t>Denver</t>
  </si>
  <si>
    <t>Colorado</t>
  </si>
  <si>
    <t>Matt Abelman</t>
  </si>
  <si>
    <t>Gene Hale</t>
  </si>
  <si>
    <t>Steve Nguyen</t>
  </si>
  <si>
    <t>Richmond</t>
  </si>
  <si>
    <t>Kentucky</t>
  </si>
  <si>
    <t>Salem</t>
  </si>
  <si>
    <t>Oregon</t>
  </si>
  <si>
    <t>Bookcases</t>
  </si>
  <si>
    <t>Linda Cazamias</t>
  </si>
  <si>
    <t>Ruben Ausman</t>
  </si>
  <si>
    <t>Erin Smith</t>
  </si>
  <si>
    <t>Laredo</t>
  </si>
  <si>
    <t>Odella Nelson</t>
  </si>
  <si>
    <t>San Diego</t>
  </si>
  <si>
    <t>Patrick O'Donnell</t>
  </si>
  <si>
    <t>Lena Hernandez</t>
  </si>
  <si>
    <t>Transaction Date</t>
  </si>
  <si>
    <t>Sales Amount</t>
  </si>
  <si>
    <t>Customer 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</si>
  <si>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</si>
  <si>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</si>
  <si>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</si>
  <si>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</si>
  <si>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</si>
  <si>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</si>
  <si>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</si>
  <si>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</si>
  <si>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</si>
  <si>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</si>
  <si>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</si>
  <si>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</si>
  <si>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</si>
  <si>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</si>
  <si>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</si>
  <si>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</si>
  <si>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</si>
  <si>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</si>
  <si>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</si>
  <si>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</si>
  <si>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</si>
  <si>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</si>
  <si>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</si>
  <si>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</si>
  <si>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Lubricant</t>
  </si>
  <si>
    <t>Coolant</t>
  </si>
  <si>
    <t>Air Filter</t>
  </si>
  <si>
    <t>Alto</t>
  </si>
  <si>
    <t>WagonR</t>
  </si>
  <si>
    <t>Swift</t>
  </si>
  <si>
    <t>SX4</t>
  </si>
  <si>
    <t>Car #</t>
  </si>
  <si>
    <t>Model</t>
  </si>
  <si>
    <t>Servicing Details</t>
  </si>
  <si>
    <t>Labour Charge</t>
  </si>
  <si>
    <t>AC Pressure</t>
  </si>
  <si>
    <t>Cost</t>
  </si>
  <si>
    <t>Cost Chart</t>
  </si>
  <si>
    <t>Purchase Value Of A New Car</t>
  </si>
  <si>
    <t>Second Hand Value</t>
  </si>
  <si>
    <t>Number Of Years Ownership</t>
  </si>
  <si>
    <t>Annual Straight Line Depreciation</t>
  </si>
  <si>
    <r>
      <t xml:space="preserve"> =SLN(</t>
    </r>
    <r>
      <rPr>
        <b/>
        <sz val="11"/>
        <color rgb="FF002060"/>
        <rFont val="Garamond"/>
        <family val="1"/>
      </rPr>
      <t>D4</t>
    </r>
    <r>
      <rPr>
        <sz val="11"/>
        <color theme="1"/>
        <rFont val="Garamond"/>
        <family val="1"/>
      </rPr>
      <t>,</t>
    </r>
    <r>
      <rPr>
        <b/>
        <sz val="11"/>
        <color theme="5" tint="-0.249977111117893"/>
        <rFont val="Garamond"/>
        <family val="1"/>
      </rPr>
      <t>D5</t>
    </r>
    <r>
      <rPr>
        <sz val="11"/>
        <color theme="1"/>
        <rFont val="Garamond"/>
        <family val="1"/>
      </rPr>
      <t>,</t>
    </r>
    <r>
      <rPr>
        <b/>
        <sz val="11"/>
        <color theme="9" tint="-0.249977111117893"/>
        <rFont val="Garamond"/>
        <family val="1"/>
      </rPr>
      <t>D6</t>
    </r>
    <r>
      <rPr>
        <sz val="11"/>
        <color theme="1"/>
        <rFont val="Garamond"/>
        <family val="1"/>
      </rPr>
      <t>)</t>
    </r>
  </si>
  <si>
    <t>Depriciation in Year 1</t>
  </si>
  <si>
    <t>Depriciation in Year 2</t>
  </si>
  <si>
    <t>Depriciation in Year 3</t>
  </si>
  <si>
    <t>Depriciation in Year 4</t>
  </si>
  <si>
    <t>Depriciation in Year 5</t>
  </si>
  <si>
    <t>Depriciation in Year 6</t>
  </si>
  <si>
    <r>
      <t xml:space="preserve"> =SYD(</t>
    </r>
    <r>
      <rPr>
        <b/>
        <sz val="11"/>
        <color rgb="FF002060"/>
        <rFont val="Garamond"/>
        <family val="1"/>
      </rPr>
      <t>$D$14</t>
    </r>
    <r>
      <rPr>
        <sz val="11"/>
        <color theme="1"/>
        <rFont val="Garamond"/>
        <family val="1"/>
      </rPr>
      <t>,</t>
    </r>
    <r>
      <rPr>
        <b/>
        <sz val="11"/>
        <color rgb="FFC00000"/>
        <rFont val="Garamond"/>
        <family val="1"/>
      </rPr>
      <t>$D$15</t>
    </r>
    <r>
      <rPr>
        <sz val="11"/>
        <color theme="1"/>
        <rFont val="Garamond"/>
        <family val="1"/>
      </rPr>
      <t>,</t>
    </r>
    <r>
      <rPr>
        <b/>
        <sz val="11"/>
        <color theme="9" tint="-0.249977111117893"/>
        <rFont val="Garamond"/>
        <family val="1"/>
      </rPr>
      <t>$D$16</t>
    </r>
    <r>
      <rPr>
        <sz val="11"/>
        <color theme="1"/>
        <rFont val="Garamond"/>
        <family val="1"/>
      </rPr>
      <t>,</t>
    </r>
    <r>
      <rPr>
        <b/>
        <sz val="11"/>
        <color theme="6" tint="-0.499984740745262"/>
        <rFont val="Garamond"/>
        <family val="1"/>
      </rPr>
      <t>6</t>
    </r>
    <r>
      <rPr>
        <sz val="11"/>
        <color theme="1"/>
        <rFont val="Garamond"/>
        <family val="1"/>
      </rPr>
      <t>)</t>
    </r>
  </si>
  <si>
    <t>Total Deprciation</t>
  </si>
  <si>
    <t>% of Total Depreciation</t>
  </si>
  <si>
    <t>Calculated Depreciation Rate:</t>
  </si>
  <si>
    <t>Year</t>
  </si>
  <si>
    <t>Excel Depreciation</t>
  </si>
  <si>
    <t>Real Depriciation</t>
  </si>
  <si>
    <t>Total Depreciation</t>
  </si>
  <si>
    <t>% Difference</t>
  </si>
  <si>
    <r>
      <t xml:space="preserve"> =DB(</t>
    </r>
    <r>
      <rPr>
        <b/>
        <sz val="11"/>
        <color rgb="FF002060"/>
        <rFont val="Garamond"/>
        <family val="1"/>
      </rPr>
      <t>$D$34</t>
    </r>
    <r>
      <rPr>
        <sz val="11"/>
        <color theme="1"/>
        <rFont val="Garamond"/>
        <family val="1"/>
      </rPr>
      <t>,</t>
    </r>
    <r>
      <rPr>
        <b/>
        <sz val="11"/>
        <color theme="5" tint="-0.249977111117893"/>
        <rFont val="Garamond"/>
        <family val="1"/>
      </rPr>
      <t>$D$35</t>
    </r>
    <r>
      <rPr>
        <sz val="11"/>
        <color theme="1"/>
        <rFont val="Garamond"/>
        <family val="1"/>
      </rPr>
      <t>,</t>
    </r>
    <r>
      <rPr>
        <b/>
        <sz val="11"/>
        <color theme="9" tint="-0.249977111117893"/>
        <rFont val="Garamond"/>
        <family val="1"/>
      </rPr>
      <t>$D$36</t>
    </r>
    <r>
      <rPr>
        <sz val="11"/>
        <color theme="1"/>
        <rFont val="Garamond"/>
        <family val="1"/>
      </rPr>
      <t>,</t>
    </r>
    <r>
      <rPr>
        <b/>
        <sz val="11"/>
        <color theme="7" tint="-0.499984740745262"/>
        <rFont val="Garamond"/>
        <family val="1"/>
      </rPr>
      <t>C46</t>
    </r>
    <r>
      <rPr>
        <sz val="11"/>
        <color theme="1"/>
        <rFont val="Garamond"/>
        <family val="1"/>
      </rPr>
      <t>)</t>
    </r>
  </si>
  <si>
    <t>% Excel Depreciation</t>
  </si>
  <si>
    <t xml:space="preserve"> =CHOOSE(H9,10%,15%,18%)</t>
  </si>
  <si>
    <t>Depriciation</t>
  </si>
  <si>
    <t>After Dep Amount</t>
  </si>
  <si>
    <t>D_Rate</t>
  </si>
  <si>
    <t>total accumulated dep</t>
  </si>
  <si>
    <t xml:space="preserve">Ram </t>
  </si>
  <si>
    <t>Dipti</t>
  </si>
  <si>
    <t>Meghna</t>
  </si>
  <si>
    <t>Sweata</t>
  </si>
  <si>
    <t xml:space="preserve">Name </t>
  </si>
  <si>
    <t>Innings</t>
  </si>
  <si>
    <t>Highest Score</t>
  </si>
  <si>
    <t>Sachin</t>
  </si>
  <si>
    <t>Virat</t>
  </si>
  <si>
    <t>Saurav</t>
  </si>
  <si>
    <t>Dravid</t>
  </si>
  <si>
    <t>Laxman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</si>
</sst>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0"/>
      <name val="Arial"/>
      <family val="2"/>
    </font>
    <font>
      <b/>
      <sz val="11"/>
      <color rgb="FF002060"/>
      <name val="Garamond"/>
      <family val="1"/>
    </font>
    <font>
      <b/>
      <sz val="11"/>
      <color rgb="FFC00000"/>
      <name val="Garamond"/>
      <family val="1"/>
    </font>
    <font>
      <b/>
      <sz val="11"/>
      <color theme="6" tint="-0.499984740745262"/>
      <name val="Garamond"/>
      <family val="1"/>
    </font>
    <font>
      <sz val="14"/>
      <color theme="1"/>
      <name val="Garamond"/>
      <family val="1"/>
    </font>
    <font>
      <b/>
      <sz val="14"/>
      <color rgb="FF002060"/>
      <name val="Garamond"/>
      <family val="1"/>
    </font>
    <font>
      <b/>
      <sz val="14"/>
      <color theme="5" tint="-0.249977111117893"/>
      <name val="Garamond"/>
      <family val="1"/>
    </font>
    <font>
      <b/>
      <sz val="14"/>
      <color theme="9" tint="-0.249977111117893"/>
      <name val="Garamond"/>
      <family val="1"/>
    </font>
    <font>
      <b/>
      <sz val="11"/>
      <color rgb="FFFFC000"/>
      <name val="Garamond"/>
      <family val="1"/>
    </font>
    <font>
      <sz val="11"/>
      <color theme="1"/>
      <name val="Calibri"/>
      <family val="2"/>
      <scheme val="minor"/>
    </font>
    <font>
      <sz val="11"/>
      <name val="Garamond"/>
      <family val="1"/>
    </font>
    <font>
      <b/>
      <sz val="11"/>
      <name val="Garamond"/>
      <family val="1"/>
    </font>
    <font>
      <b/>
      <sz val="12"/>
      <color rgb="FF000000"/>
      <name val="Garamond"/>
      <family val="1"/>
    </font>
    <font>
      <sz val="11"/>
      <color indexed="20"/>
      <name val="Garamond"/>
      <family val="1"/>
    </font>
    <font>
      <sz val="11"/>
      <color indexed="12"/>
      <name val="Garamond"/>
      <family val="1"/>
    </font>
    <font>
      <b/>
      <sz val="11"/>
      <color theme="5" tint="-0.249977111117893"/>
      <name val="Garamond"/>
      <family val="1"/>
    </font>
    <font>
      <b/>
      <sz val="11"/>
      <color theme="9" tint="-0.249977111117893"/>
      <name val="Garamond"/>
      <family val="1"/>
    </font>
    <font>
      <b/>
      <sz val="11"/>
      <color theme="7" tint="-0.499984740745262"/>
      <name val="Garamond"/>
      <family val="1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theme="0" tint="-0.14999847407452621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3" borderId="0" applyNumberFormat="0" applyFont="0" applyBorder="0" applyAlignment="0" applyProtection="0"/>
    <xf numFmtId="0" fontId="3" fillId="4" borderId="0" applyNumberFormat="0" applyFont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21" fontId="1" fillId="0" borderId="1" xfId="0" applyNumberFormat="1" applyFont="1" applyBorder="1"/>
    <xf numFmtId="0" fontId="2" fillId="2" borderId="1" xfId="0" applyFont="1" applyFill="1" applyBorder="1"/>
    <xf numFmtId="0" fontId="1" fillId="0" borderId="3" xfId="0" applyFont="1" applyBorder="1"/>
    <xf numFmtId="0" fontId="7" fillId="0" borderId="2" xfId="0" applyFont="1" applyBorder="1"/>
    <xf numFmtId="0" fontId="1" fillId="0" borderId="0" xfId="0" applyFont="1" applyBorder="1"/>
    <xf numFmtId="0" fontId="1" fillId="0" borderId="1" xfId="0" applyFont="1" applyBorder="1" applyAlignment="1"/>
    <xf numFmtId="9" fontId="13" fillId="0" borderId="4" xfId="3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9" fontId="13" fillId="0" borderId="1" xfId="3" applyFont="1" applyFill="1" applyBorder="1" applyAlignment="1">
      <alignment vertical="center"/>
    </xf>
    <xf numFmtId="0" fontId="13" fillId="0" borderId="0" xfId="0" applyFont="1" applyFill="1" applyAlignment="1"/>
    <xf numFmtId="0" fontId="13" fillId="0" borderId="1" xfId="0" applyFont="1" applyFill="1" applyBorder="1" applyAlignment="1"/>
    <xf numFmtId="9" fontId="13" fillId="0" borderId="1" xfId="3" applyFont="1" applyFill="1" applyBorder="1" applyAlignment="1"/>
    <xf numFmtId="0" fontId="14" fillId="2" borderId="4" xfId="0" applyFont="1" applyFill="1" applyBorder="1" applyAlignment="1">
      <alignment horizontal="center" vertical="center"/>
    </xf>
    <xf numFmtId="0" fontId="15" fillId="0" borderId="5" xfId="0" applyFont="1" applyBorder="1"/>
    <xf numFmtId="14" fontId="1" fillId="5" borderId="0" xfId="0" applyNumberFormat="1" applyFont="1" applyFill="1"/>
    <xf numFmtId="0" fontId="1" fillId="5" borderId="0" xfId="0" applyFont="1" applyFill="1"/>
    <xf numFmtId="14" fontId="1" fillId="0" borderId="0" xfId="0" applyNumberFormat="1" applyFont="1"/>
    <xf numFmtId="0" fontId="0" fillId="0" borderId="0" xfId="0"/>
    <xf numFmtId="4" fontId="1" fillId="0" borderId="0" xfId="0" applyNumberFormat="1" applyFont="1"/>
    <xf numFmtId="4" fontId="1" fillId="0" borderId="7" xfId="4" applyNumberFormat="1" applyFont="1" applyBorder="1"/>
    <xf numFmtId="4" fontId="1" fillId="0" borderId="8" xfId="0" applyNumberFormat="1" applyFont="1" applyBorder="1"/>
    <xf numFmtId="4" fontId="1" fillId="0" borderId="9" xfId="0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16" fillId="4" borderId="1" xfId="2" applyNumberFormat="1" applyFont="1" applyBorder="1" applyAlignment="1">
      <alignment horizontal="right"/>
    </xf>
    <xf numFmtId="4" fontId="1" fillId="0" borderId="6" xfId="4" applyNumberFormat="1" applyFont="1" applyBorder="1"/>
    <xf numFmtId="4" fontId="1" fillId="0" borderId="0" xfId="0" applyNumberFormat="1" applyFont="1" applyBorder="1"/>
    <xf numFmtId="4" fontId="1" fillId="0" borderId="10" xfId="0" applyNumberFormat="1" applyFont="1" applyBorder="1"/>
    <xf numFmtId="4" fontId="1" fillId="8" borderId="6" xfId="4" applyNumberFormat="1" applyFont="1" applyFill="1" applyBorder="1"/>
    <xf numFmtId="4" fontId="16" fillId="4" borderId="1" xfId="4" applyNumberFormat="1" applyFont="1" applyFill="1" applyBorder="1" applyAlignment="1">
      <alignment horizontal="right"/>
    </xf>
    <xf numFmtId="4" fontId="17" fillId="4" borderId="1" xfId="2" applyNumberFormat="1" applyFont="1" applyBorder="1"/>
    <xf numFmtId="4" fontId="1" fillId="7" borderId="1" xfId="0" applyNumberFormat="1" applyFont="1" applyFill="1" applyBorder="1"/>
    <xf numFmtId="4" fontId="1" fillId="0" borderId="11" xfId="4" applyNumberFormat="1" applyFont="1" applyBorder="1"/>
    <xf numFmtId="4" fontId="1" fillId="0" borderId="12" xfId="0" applyNumberFormat="1" applyFont="1" applyBorder="1"/>
    <xf numFmtId="4" fontId="1" fillId="8" borderId="13" xfId="0" applyNumberFormat="1" applyFont="1" applyFill="1" applyBorder="1"/>
    <xf numFmtId="4" fontId="1" fillId="0" borderId="0" xfId="4" applyNumberFormat="1" applyFont="1"/>
    <xf numFmtId="4" fontId="2" fillId="2" borderId="1" xfId="0" applyNumberFormat="1" applyFont="1" applyFill="1" applyBorder="1"/>
    <xf numFmtId="4" fontId="2" fillId="2" borderId="0" xfId="0" applyNumberFormat="1" applyFont="1" applyFill="1" applyBorder="1"/>
    <xf numFmtId="4" fontId="16" fillId="4" borderId="1" xfId="3" applyNumberFormat="1" applyFont="1" applyFill="1" applyBorder="1" applyAlignment="1">
      <alignment horizontal="right"/>
    </xf>
    <xf numFmtId="4" fontId="16" fillId="4" borderId="0" xfId="3" applyNumberFormat="1" applyFont="1" applyFill="1" applyBorder="1" applyAlignment="1">
      <alignment horizontal="right"/>
    </xf>
    <xf numFmtId="4" fontId="2" fillId="0" borderId="0" xfId="0" applyNumberFormat="1" applyFont="1"/>
    <xf numFmtId="4" fontId="16" fillId="9" borderId="1" xfId="2" applyNumberFormat="1" applyFont="1" applyFill="1" applyBorder="1" applyAlignment="1">
      <alignment horizontal="right"/>
    </xf>
    <xf numFmtId="4" fontId="16" fillId="9" borderId="1" xfId="4" applyNumberFormat="1" applyFont="1" applyFill="1" applyBorder="1" applyAlignment="1">
      <alignment horizontal="right"/>
    </xf>
    <xf numFmtId="4" fontId="2" fillId="2" borderId="1" xfId="0" applyNumberFormat="1" applyFont="1" applyFill="1" applyBorder="1" applyAlignment="1">
      <alignment horizontal="center" wrapText="1"/>
    </xf>
    <xf numFmtId="4" fontId="2" fillId="2" borderId="1" xfId="4" applyNumberFormat="1" applyFont="1" applyFill="1" applyBorder="1" applyAlignment="1">
      <alignment horizontal="center" wrapText="1"/>
    </xf>
    <xf numFmtId="4" fontId="1" fillId="9" borderId="0" xfId="0" applyNumberFormat="1" applyFont="1" applyFill="1"/>
    <xf numFmtId="4" fontId="1" fillId="7" borderId="1" xfId="4" applyNumberFormat="1" applyFont="1" applyFill="1" applyBorder="1"/>
    <xf numFmtId="4" fontId="16" fillId="4" borderId="0" xfId="2" applyNumberFormat="1" applyFont="1" applyBorder="1" applyAlignment="1">
      <alignment horizontal="right"/>
    </xf>
    <xf numFmtId="4" fontId="1" fillId="7" borderId="1" xfId="3" applyNumberFormat="1" applyFont="1" applyFill="1" applyBorder="1"/>
    <xf numFmtId="4" fontId="1" fillId="7" borderId="0" xfId="0" applyNumberFormat="1" applyFont="1" applyFill="1" applyBorder="1"/>
    <xf numFmtId="10" fontId="1" fillId="0" borderId="0" xfId="0" applyNumberFormat="1" applyFont="1"/>
    <xf numFmtId="0" fontId="1" fillId="8" borderId="0" xfId="0" applyFont="1" applyFill="1"/>
    <xf numFmtId="0" fontId="15" fillId="8" borderId="0" xfId="0" applyFont="1" applyFill="1" applyBorder="1"/>
    <xf numFmtId="0" fontId="0" fillId="8" borderId="0" xfId="0" applyFill="1"/>
    <xf numFmtId="0" fontId="1" fillId="8" borderId="1" xfId="0" applyFont="1" applyFill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5" fillId="2" borderId="5" xfId="0" applyFont="1" applyFill="1" applyBorder="1"/>
    <xf numFmtId="0" fontId="1" fillId="10" borderId="0" xfId="0" applyFont="1" applyFill="1"/>
    <xf numFmtId="0" fontId="1" fillId="2" borderId="0" xfId="0" applyFont="1" applyFill="1"/>
    <xf numFmtId="0" fontId="0" fillId="2" borderId="0" xfId="0" applyFill="1"/>
    <xf numFmtId="0" fontId="2" fillId="6" borderId="1" xfId="0" applyFont="1" applyFill="1" applyBorder="1" applyAlignment="1">
      <alignment horizontal="center"/>
    </xf>
  </cellXfs>
  <cellStyles count="5">
    <cellStyle name="Comma" xfId="4" builtinId="3"/>
    <cellStyle name="GreyOrWhite" xfId="1"/>
    <cellStyle name="Normal" xfId="0" builtinId="0"/>
    <cellStyle name="Percent" xfId="3" builtinId="5"/>
    <cellStyle name="Yellow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26"/>
  <sheetViews>
    <sheetView topLeftCell="B10" workbookViewId="0">
      <selection activeCell="I25" sqref="I25"/>
    </sheetView>
  </sheetViews>
  <sheetFormatPr defaultRowHeight="15" x14ac:dyDescent="0.25"/>
  <cols>
    <col min="1" max="1" width="9.140625" style="1"/>
    <col min="2" max="2" width="3.140625" style="1" customWidth="1"/>
    <col min="3" max="3" width="11.5703125" style="1" bestFit="1" customWidth="1"/>
    <col min="4" max="4" width="24.42578125" style="1" customWidth="1"/>
    <col min="5" max="5" width="6.85546875" style="1" bestFit="1" customWidth="1"/>
    <col min="6" max="6" width="33.5703125" style="1" bestFit="1" customWidth="1"/>
    <col min="7" max="7" width="23.140625" style="1" bestFit="1" customWidth="1"/>
    <col min="8" max="16384" width="9.140625" style="1"/>
  </cols>
  <sheetData>
    <row r="3" spans="3:7" x14ac:dyDescent="0.25">
      <c r="C3" s="3" t="s">
        <v>0</v>
      </c>
      <c r="D3" s="3" t="s">
        <v>1</v>
      </c>
      <c r="E3" s="3" t="s">
        <v>2</v>
      </c>
      <c r="F3" s="3" t="s">
        <v>12</v>
      </c>
      <c r="G3" s="3" t="s">
        <v>17</v>
      </c>
    </row>
    <row r="4" spans="3:7" x14ac:dyDescent="0.25">
      <c r="C4" s="2" t="s">
        <v>5</v>
      </c>
      <c r="D4" s="2" t="s">
        <v>6</v>
      </c>
      <c r="E4" s="2"/>
      <c r="F4" s="2" t="s">
        <v>13</v>
      </c>
      <c r="G4" s="2" t="str">
        <f>CONCATENATE(C4,D4)</f>
        <v>AIMKolkata</v>
      </c>
    </row>
    <row r="5" spans="3:7" x14ac:dyDescent="0.25">
      <c r="C5" s="2" t="s">
        <v>7</v>
      </c>
      <c r="D5" s="2" t="s">
        <v>8</v>
      </c>
      <c r="E5" s="2"/>
      <c r="F5" s="2" t="s">
        <v>14</v>
      </c>
      <c r="G5" s="2" t="str">
        <f>CONCATENATE("@",C5," ",D5)</f>
        <v>@Command Hospital</v>
      </c>
    </row>
    <row r="6" spans="3:7" x14ac:dyDescent="0.25">
      <c r="C6" s="2" t="s">
        <v>9</v>
      </c>
      <c r="D6" s="2" t="s">
        <v>4</v>
      </c>
      <c r="E6" s="2" t="s">
        <v>3</v>
      </c>
      <c r="F6" s="2" t="s">
        <v>15</v>
      </c>
      <c r="G6" s="2" t="str">
        <f>CONCATENATE(E6,D6,C6)</f>
        <v>ArmyInstituteManagement</v>
      </c>
    </row>
    <row r="7" spans="3:7" x14ac:dyDescent="0.25">
      <c r="C7" s="2" t="s">
        <v>10</v>
      </c>
      <c r="D7" s="2" t="s">
        <v>11</v>
      </c>
      <c r="E7" s="2"/>
      <c r="F7" s="2" t="s">
        <v>16</v>
      </c>
      <c r="G7" s="2" t="str">
        <f>CONCATENATE(D7,",",C7)</f>
        <v>Williams,Bob</v>
      </c>
    </row>
    <row r="11" spans="3:7" x14ac:dyDescent="0.25">
      <c r="C11" s="3" t="s">
        <v>0</v>
      </c>
      <c r="D11" s="3" t="s">
        <v>1</v>
      </c>
      <c r="E11" s="3" t="s">
        <v>2</v>
      </c>
      <c r="F11" s="3" t="s">
        <v>12</v>
      </c>
      <c r="G11" s="3" t="s">
        <v>17</v>
      </c>
    </row>
    <row r="12" spans="3:7" x14ac:dyDescent="0.25">
      <c r="C12" s="2" t="s">
        <v>5</v>
      </c>
      <c r="D12" s="2" t="s">
        <v>6</v>
      </c>
      <c r="E12" s="2"/>
      <c r="F12" s="2" t="s">
        <v>18</v>
      </c>
      <c r="G12" s="2"/>
    </row>
    <row r="13" spans="3:7" x14ac:dyDescent="0.25">
      <c r="C13" s="2" t="s">
        <v>7</v>
      </c>
      <c r="D13" s="2" t="s">
        <v>8</v>
      </c>
      <c r="E13" s="2"/>
      <c r="F13" s="2" t="s">
        <v>19</v>
      </c>
      <c r="G13" s="2"/>
    </row>
    <row r="14" spans="3:7" x14ac:dyDescent="0.25">
      <c r="C14" s="2" t="s">
        <v>9</v>
      </c>
      <c r="D14" s="2" t="s">
        <v>4</v>
      </c>
      <c r="E14" s="2" t="s">
        <v>3</v>
      </c>
      <c r="F14" s="2" t="s">
        <v>20</v>
      </c>
      <c r="G14" s="2"/>
    </row>
    <row r="15" spans="3:7" x14ac:dyDescent="0.25">
      <c r="C15" s="2" t="s">
        <v>10</v>
      </c>
      <c r="D15" s="2" t="s">
        <v>11</v>
      </c>
      <c r="E15" s="2"/>
      <c r="F15" s="2" t="s">
        <v>21</v>
      </c>
      <c r="G15" s="2"/>
    </row>
    <row r="19" spans="6:9" x14ac:dyDescent="0.25">
      <c r="F19" s="1" t="str">
        <f>CONCATENATE(C12,D12)</f>
        <v>AIMKolkata</v>
      </c>
      <c r="G19" s="1" t="str">
        <f>CONCATENATE(C12,D12)</f>
        <v>AIMKolkata</v>
      </c>
      <c r="I19" s="1" t="str">
        <f>CONCATENATE(C12&amp;" "&amp;C14&amp;" "&amp;D14)</f>
        <v>AIM Management Institute</v>
      </c>
    </row>
    <row r="20" spans="6:9" x14ac:dyDescent="0.25">
      <c r="F20" s="1" t="str">
        <f>CONCATENATE(C12&amp;D12)</f>
        <v>AIMKolkata</v>
      </c>
      <c r="G20" s="1" t="str">
        <f>CONCATENATE(D15&amp;C12)</f>
        <v>WilliamsAIM</v>
      </c>
    </row>
    <row r="21" spans="6:9" x14ac:dyDescent="0.25">
      <c r="F21" s="1" t="str">
        <f>CONCATENATE(C13,D15)</f>
        <v>CommandWilliams</v>
      </c>
      <c r="G21" s="1" t="str">
        <f>CONCATENATE(C12&amp;D12)</f>
        <v>AIMKolkata</v>
      </c>
    </row>
    <row r="22" spans="6:9" x14ac:dyDescent="0.25">
      <c r="F22" s="1" t="str">
        <f>CONCATENATE(5 &amp; C13&amp;D13)</f>
        <v>5CommandHospital</v>
      </c>
      <c r="G22" s="1" t="str">
        <f>CONCATENATE(C12&amp;C13&amp;C14)</f>
        <v>AIMCommandManagement</v>
      </c>
    </row>
    <row r="25" spans="6:9" x14ac:dyDescent="0.25">
      <c r="G25" s="1" t="str">
        <f>CONCATENATE("At",C12,D12)</f>
        <v>AtAIMKolkata</v>
      </c>
    </row>
    <row r="26" spans="6:9" x14ac:dyDescent="0.25">
      <c r="G26" s="1" t="str">
        <f>CONCATENATE(C12&amp;" "&amp;D12)</f>
        <v>AIM Kolkata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8"/>
  <sheetViews>
    <sheetView workbookViewId="0">
      <selection activeCell="D21" sqref="D21"/>
    </sheetView>
  </sheetViews>
  <sheetFormatPr defaultRowHeight="15" x14ac:dyDescent="0.25"/>
  <cols>
    <col min="1" max="1" width="9.140625" style="1"/>
    <col min="2" max="2" width="12" style="1" bestFit="1" customWidth="1"/>
    <col min="3" max="3" width="37" style="1" bestFit="1" customWidth="1"/>
    <col min="4" max="4" width="53" style="1" customWidth="1"/>
    <col min="5" max="7" width="9.140625" style="1"/>
    <col min="8" max="8" width="12" style="1" bestFit="1" customWidth="1"/>
    <col min="9" max="9" width="11.140625" style="1" bestFit="1" customWidth="1"/>
    <col min="10" max="16384" width="9.140625" style="1"/>
  </cols>
  <sheetData>
    <row r="3" spans="2:9" x14ac:dyDescent="0.25">
      <c r="B3" s="3" t="s">
        <v>22</v>
      </c>
      <c r="C3" s="3" t="s">
        <v>12</v>
      </c>
      <c r="D3" s="3" t="s">
        <v>29</v>
      </c>
      <c r="H3" s="3" t="s">
        <v>22</v>
      </c>
      <c r="I3" s="3" t="s">
        <v>29</v>
      </c>
    </row>
    <row r="4" spans="2:9" x14ac:dyDescent="0.25">
      <c r="B4" s="2">
        <v>1</v>
      </c>
      <c r="C4" s="2" t="s">
        <v>23</v>
      </c>
      <c r="D4" s="2"/>
      <c r="H4" s="2">
        <v>1</v>
      </c>
      <c r="I4" s="2"/>
    </row>
    <row r="5" spans="2:9" x14ac:dyDescent="0.25">
      <c r="B5" s="2">
        <v>3</v>
      </c>
      <c r="C5" s="2" t="s">
        <v>24</v>
      </c>
      <c r="D5" s="2"/>
      <c r="H5" s="2">
        <v>3</v>
      </c>
      <c r="I5" s="2"/>
    </row>
    <row r="6" spans="2:9" x14ac:dyDescent="0.25">
      <c r="B6" s="2">
        <v>2</v>
      </c>
      <c r="C6" s="2" t="s">
        <v>25</v>
      </c>
      <c r="D6" s="2"/>
      <c r="H6" s="2">
        <v>2</v>
      </c>
      <c r="I6" s="2"/>
    </row>
    <row r="7" spans="2:9" x14ac:dyDescent="0.25">
      <c r="B7" s="2">
        <v>3</v>
      </c>
      <c r="C7" s="2" t="s">
        <v>26</v>
      </c>
      <c r="D7" s="2"/>
      <c r="H7" s="2">
        <v>3</v>
      </c>
      <c r="I7" s="2"/>
    </row>
    <row r="8" spans="2:9" x14ac:dyDescent="0.25">
      <c r="B8" s="2">
        <v>1</v>
      </c>
      <c r="C8" s="2" t="s">
        <v>27</v>
      </c>
      <c r="D8" s="2"/>
      <c r="H8" s="2">
        <v>1</v>
      </c>
      <c r="I8" s="2"/>
    </row>
    <row r="9" spans="2:9" x14ac:dyDescent="0.25">
      <c r="B9" s="2">
        <v>2</v>
      </c>
      <c r="C9" s="2" t="s">
        <v>28</v>
      </c>
      <c r="D9" s="2"/>
      <c r="H9" s="2">
        <v>2</v>
      </c>
      <c r="I9" s="2"/>
    </row>
    <row r="10" spans="2:9" x14ac:dyDescent="0.25">
      <c r="I10" s="1" t="s">
        <v>308</v>
      </c>
    </row>
    <row r="13" spans="2:9" x14ac:dyDescent="0.25">
      <c r="G13" s="1" t="s">
        <v>313</v>
      </c>
    </row>
    <row r="14" spans="2:9" x14ac:dyDescent="0.25">
      <c r="D14" s="1" t="str">
        <f>CHOOSE(2,"Alok","Ronty","Suman")</f>
        <v>Ronty</v>
      </c>
      <c r="G14" s="1" t="s">
        <v>314</v>
      </c>
    </row>
    <row r="15" spans="2:9" x14ac:dyDescent="0.25">
      <c r="D15" s="1" t="str">
        <f>CHOOSE(H7,"Alok","Ronty","Suman")</f>
        <v>Suman</v>
      </c>
      <c r="G15" s="1" t="s">
        <v>315</v>
      </c>
    </row>
    <row r="16" spans="2:9" x14ac:dyDescent="0.25">
      <c r="C16" s="1" t="str">
        <f>CHOOSE(2,"Ronty", "Suman", "Dipti")</f>
        <v>Suman</v>
      </c>
      <c r="D16" s="1" t="str">
        <f>CHOOSE(2,G13,G14,G15,G16)</f>
        <v>Dipti</v>
      </c>
      <c r="G16" s="1" t="s">
        <v>316</v>
      </c>
    </row>
    <row r="17" spans="3:4" x14ac:dyDescent="0.25">
      <c r="D17" s="53">
        <f>CHOOSE(1,40%,70%,20%)</f>
        <v>0.4</v>
      </c>
    </row>
    <row r="18" spans="3:4" x14ac:dyDescent="0.25">
      <c r="C18" s="1" t="str">
        <f>CHOOSE(H4,"10%","15%")</f>
        <v>10%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3"/>
  <sheetViews>
    <sheetView topLeftCell="A2" workbookViewId="0">
      <selection activeCell="F4" sqref="F4"/>
    </sheetView>
  </sheetViews>
  <sheetFormatPr defaultRowHeight="15" x14ac:dyDescent="0.25"/>
  <cols>
    <col min="1" max="1" width="9.140625" style="1"/>
    <col min="2" max="2" width="15.140625" style="1" bestFit="1" customWidth="1"/>
    <col min="3" max="3" width="7.85546875" style="1" bestFit="1" customWidth="1"/>
    <col min="4" max="4" width="8.42578125" style="1" bestFit="1" customWidth="1"/>
    <col min="5" max="5" width="8.85546875" style="1" bestFit="1" customWidth="1"/>
    <col min="6" max="16384" width="9.140625" style="1"/>
  </cols>
  <sheetData>
    <row r="3" spans="2:10" x14ac:dyDescent="0.25">
      <c r="B3" s="3" t="s">
        <v>30</v>
      </c>
      <c r="C3" s="3" t="s">
        <v>41</v>
      </c>
      <c r="D3" s="3" t="s">
        <v>42</v>
      </c>
      <c r="E3" s="3" t="s">
        <v>43</v>
      </c>
    </row>
    <row r="4" spans="2:10" x14ac:dyDescent="0.25">
      <c r="B4" s="2" t="s">
        <v>31</v>
      </c>
      <c r="C4" s="4">
        <v>1.0416666666666667E-3</v>
      </c>
      <c r="D4" s="2">
        <v>8</v>
      </c>
      <c r="E4" s="2" t="str">
        <f>IF(D4&lt;=3,CHOOSE(D4,"Gold","Silver","Bronze"),"Unplaced")</f>
        <v>Unplaced</v>
      </c>
      <c r="H4" s="1">
        <f>RANK(C4,$C$4:$C$13,1)</f>
        <v>8</v>
      </c>
      <c r="I4" s="54" t="b">
        <f>IF(H4&lt;4,CHOOSE(H4,"Gold","Silver","Bronze"))</f>
        <v>0</v>
      </c>
      <c r="J4" s="1">
        <f>RANK(C4,$C$4:$C$13,1)</f>
        <v>8</v>
      </c>
    </row>
    <row r="5" spans="2:10" x14ac:dyDescent="0.25">
      <c r="B5" s="2" t="s">
        <v>32</v>
      </c>
      <c r="C5" s="4">
        <v>8.6805555555555551E-4</v>
      </c>
      <c r="D5" s="2">
        <v>4</v>
      </c>
      <c r="E5" s="2" t="str">
        <f t="shared" ref="E5:E13" si="0">IF(D5&lt;=3,CHOOSE(D5,"Gold","Silver","Bronze"),"Unplaced")</f>
        <v>Unplaced</v>
      </c>
      <c r="H5" s="1">
        <f t="shared" ref="H5:H13" si="1">RANK(C5,$C$4:$C$13,1)</f>
        <v>4</v>
      </c>
      <c r="I5" s="1" t="b">
        <f t="shared" ref="I5:I13" si="2">IF(H5&lt;4,CHOOSE(H5,"Gold","Silver","Bronze"))</f>
        <v>0</v>
      </c>
      <c r="J5" s="1">
        <f t="shared" ref="J5:J13" si="3">RANK(C5,$C$4:$C$13,1)</f>
        <v>4</v>
      </c>
    </row>
    <row r="6" spans="2:10" x14ac:dyDescent="0.25">
      <c r="B6" s="2" t="s">
        <v>33</v>
      </c>
      <c r="C6" s="4">
        <v>1.9097222222222222E-3</v>
      </c>
      <c r="D6" s="2">
        <v>10</v>
      </c>
      <c r="E6" s="2" t="str">
        <f t="shared" si="0"/>
        <v>Unplaced</v>
      </c>
      <c r="H6" s="1">
        <f t="shared" si="1"/>
        <v>10</v>
      </c>
      <c r="I6" s="1" t="b">
        <f t="shared" si="2"/>
        <v>0</v>
      </c>
      <c r="J6" s="1">
        <f t="shared" si="3"/>
        <v>10</v>
      </c>
    </row>
    <row r="7" spans="2:10" x14ac:dyDescent="0.25">
      <c r="B7" s="2" t="s">
        <v>34</v>
      </c>
      <c r="C7" s="4">
        <v>7.5231481481481471E-4</v>
      </c>
      <c r="D7" s="2">
        <v>1</v>
      </c>
      <c r="E7" s="2" t="str">
        <f>IF(D7&lt;=3,CHOOSE(D7,"Gold","Silver","Bronze"),"Unplaced")</f>
        <v>Gold</v>
      </c>
      <c r="H7" s="1">
        <f t="shared" si="1"/>
        <v>1</v>
      </c>
      <c r="I7" s="1" t="str">
        <f t="shared" si="2"/>
        <v>Gold</v>
      </c>
      <c r="J7" s="1">
        <f t="shared" si="3"/>
        <v>1</v>
      </c>
    </row>
    <row r="8" spans="2:10" x14ac:dyDescent="0.25">
      <c r="B8" s="2" t="s">
        <v>35</v>
      </c>
      <c r="C8" s="4">
        <v>9.2592592592592585E-4</v>
      </c>
      <c r="D8" s="2">
        <v>5</v>
      </c>
      <c r="E8" s="2" t="str">
        <f t="shared" si="0"/>
        <v>Unplaced</v>
      </c>
      <c r="H8" s="1">
        <f t="shared" si="1"/>
        <v>5</v>
      </c>
      <c r="I8" s="1" t="b">
        <f t="shared" si="2"/>
        <v>0</v>
      </c>
      <c r="J8" s="1">
        <f t="shared" si="3"/>
        <v>5</v>
      </c>
    </row>
    <row r="9" spans="2:10" x14ac:dyDescent="0.25">
      <c r="B9" s="2" t="s">
        <v>36</v>
      </c>
      <c r="C9" s="4">
        <v>8.1018518518518516E-4</v>
      </c>
      <c r="D9" s="2">
        <v>3</v>
      </c>
      <c r="E9" s="2" t="str">
        <f t="shared" si="0"/>
        <v>Bronze</v>
      </c>
      <c r="H9" s="1">
        <f t="shared" si="1"/>
        <v>3</v>
      </c>
      <c r="I9" s="1" t="str">
        <f t="shared" si="2"/>
        <v>Bronze</v>
      </c>
      <c r="J9" s="1">
        <f t="shared" si="3"/>
        <v>3</v>
      </c>
    </row>
    <row r="10" spans="2:10" x14ac:dyDescent="0.25">
      <c r="B10" s="2" t="s">
        <v>37</v>
      </c>
      <c r="C10" s="4">
        <v>9.2592592592592585E-4</v>
      </c>
      <c r="D10" s="2">
        <v>5</v>
      </c>
      <c r="E10" s="2" t="str">
        <f t="shared" si="0"/>
        <v>Unplaced</v>
      </c>
      <c r="H10" s="1">
        <f t="shared" si="1"/>
        <v>5</v>
      </c>
      <c r="I10" s="1" t="b">
        <f t="shared" si="2"/>
        <v>0</v>
      </c>
      <c r="J10" s="1">
        <f t="shared" si="3"/>
        <v>5</v>
      </c>
    </row>
    <row r="11" spans="2:10" x14ac:dyDescent="0.25">
      <c r="B11" s="2" t="s">
        <v>38</v>
      </c>
      <c r="C11" s="4">
        <v>7.9861111111111105E-4</v>
      </c>
      <c r="D11" s="2">
        <v>2</v>
      </c>
      <c r="E11" s="2" t="str">
        <f t="shared" si="0"/>
        <v>Silver</v>
      </c>
      <c r="H11" s="1">
        <f t="shared" si="1"/>
        <v>2</v>
      </c>
      <c r="I11" s="1" t="str">
        <f t="shared" si="2"/>
        <v>Silver</v>
      </c>
      <c r="J11" s="1">
        <f t="shared" si="3"/>
        <v>2</v>
      </c>
    </row>
    <row r="12" spans="2:10" x14ac:dyDescent="0.25">
      <c r="B12" s="2" t="s">
        <v>39</v>
      </c>
      <c r="C12" s="4">
        <v>9.7222222222222209E-4</v>
      </c>
      <c r="D12" s="2">
        <v>7</v>
      </c>
      <c r="E12" s="2" t="str">
        <f t="shared" si="0"/>
        <v>Unplaced</v>
      </c>
      <c r="H12" s="1">
        <f t="shared" si="1"/>
        <v>7</v>
      </c>
      <c r="I12" s="1" t="b">
        <f t="shared" si="2"/>
        <v>0</v>
      </c>
      <c r="J12" s="1">
        <f t="shared" si="3"/>
        <v>7</v>
      </c>
    </row>
    <row r="13" spans="2:10" x14ac:dyDescent="0.25">
      <c r="B13" s="2" t="s">
        <v>40</v>
      </c>
      <c r="C13" s="4">
        <v>1.0648148148148147E-3</v>
      </c>
      <c r="D13" s="2">
        <v>9</v>
      </c>
      <c r="E13" s="2" t="str">
        <f t="shared" si="0"/>
        <v>Unplaced</v>
      </c>
      <c r="H13" s="1">
        <f t="shared" si="1"/>
        <v>9</v>
      </c>
      <c r="I13" s="1" t="b">
        <f t="shared" si="2"/>
        <v>0</v>
      </c>
      <c r="J13" s="1">
        <f t="shared" si="3"/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52"/>
  <sheetViews>
    <sheetView topLeftCell="A31" workbookViewId="0">
      <selection activeCell="G49" sqref="G49"/>
    </sheetView>
  </sheetViews>
  <sheetFormatPr defaultRowHeight="15" x14ac:dyDescent="0.25"/>
  <cols>
    <col min="1" max="1" width="9.140625" style="1"/>
    <col min="2" max="2" width="15" style="1" bestFit="1" customWidth="1"/>
    <col min="3" max="3" width="16" style="1" bestFit="1" customWidth="1"/>
    <col min="4" max="5" width="17.42578125" style="1" bestFit="1" customWidth="1"/>
    <col min="6" max="16384" width="9.140625" style="1"/>
  </cols>
  <sheetData>
    <row r="3" spans="2:5" x14ac:dyDescent="0.25">
      <c r="C3" s="5" t="s">
        <v>44</v>
      </c>
      <c r="D3" s="5" t="s">
        <v>45</v>
      </c>
      <c r="E3" s="5" t="s">
        <v>46</v>
      </c>
    </row>
    <row r="4" spans="2:5" x14ac:dyDescent="0.25">
      <c r="C4" s="2">
        <v>10</v>
      </c>
      <c r="D4" s="2">
        <v>100</v>
      </c>
      <c r="E4" s="2">
        <v>90</v>
      </c>
    </row>
    <row r="5" spans="2:5" x14ac:dyDescent="0.25">
      <c r="C5" s="2">
        <v>20</v>
      </c>
      <c r="D5" s="2">
        <v>80</v>
      </c>
      <c r="E5" s="2">
        <v>70</v>
      </c>
    </row>
    <row r="6" spans="2:5" x14ac:dyDescent="0.25">
      <c r="C6" s="2">
        <v>30</v>
      </c>
      <c r="D6" s="2">
        <v>70</v>
      </c>
      <c r="E6" s="2">
        <v>60</v>
      </c>
    </row>
    <row r="7" spans="2:5" x14ac:dyDescent="0.25">
      <c r="C7" s="2">
        <v>50</v>
      </c>
      <c r="D7" s="2">
        <v>50</v>
      </c>
      <c r="E7" s="2">
        <v>55</v>
      </c>
    </row>
    <row r="8" spans="2:5" x14ac:dyDescent="0.25">
      <c r="C8" s="2">
        <v>80</v>
      </c>
      <c r="D8" s="2">
        <v>40</v>
      </c>
      <c r="E8" s="2">
        <v>40</v>
      </c>
    </row>
    <row r="9" spans="2:5" x14ac:dyDescent="0.25">
      <c r="C9" s="2">
        <v>90</v>
      </c>
      <c r="D9" s="2">
        <v>10</v>
      </c>
      <c r="E9" s="2">
        <v>30</v>
      </c>
    </row>
    <row r="11" spans="2:5" x14ac:dyDescent="0.25">
      <c r="B11" s="5" t="s">
        <v>47</v>
      </c>
      <c r="C11" s="2">
        <v>50</v>
      </c>
      <c r="D11" s="2">
        <v>50</v>
      </c>
      <c r="E11" s="2">
        <v>50</v>
      </c>
    </row>
    <row r="12" spans="2:5" x14ac:dyDescent="0.25">
      <c r="B12" s="5" t="s">
        <v>48</v>
      </c>
      <c r="C12" s="2"/>
      <c r="D12" s="2"/>
      <c r="E12" s="2"/>
    </row>
    <row r="13" spans="2:5" ht="18.75" x14ac:dyDescent="0.3">
      <c r="B13" s="5" t="s">
        <v>49</v>
      </c>
      <c r="C13" s="7" t="s">
        <v>50</v>
      </c>
      <c r="D13" s="6"/>
    </row>
    <row r="20" spans="2:5" x14ac:dyDescent="0.25">
      <c r="C20" s="5" t="s">
        <v>44</v>
      </c>
      <c r="D20" s="5" t="s">
        <v>45</v>
      </c>
      <c r="E20" s="5" t="s">
        <v>46</v>
      </c>
    </row>
    <row r="21" spans="2:5" x14ac:dyDescent="0.25">
      <c r="C21" s="2">
        <v>10</v>
      </c>
      <c r="D21" s="2">
        <v>100</v>
      </c>
      <c r="E21" s="2">
        <v>30</v>
      </c>
    </row>
    <row r="22" spans="2:5" x14ac:dyDescent="0.25">
      <c r="C22" s="2">
        <v>20</v>
      </c>
      <c r="D22" s="2">
        <v>80</v>
      </c>
      <c r="E22" s="2">
        <v>40</v>
      </c>
    </row>
    <row r="23" spans="2:5" x14ac:dyDescent="0.25">
      <c r="C23" s="2">
        <v>30</v>
      </c>
      <c r="D23" s="2">
        <v>70</v>
      </c>
      <c r="E23" s="2">
        <v>55</v>
      </c>
    </row>
    <row r="24" spans="2:5" x14ac:dyDescent="0.25">
      <c r="C24" s="2">
        <v>50</v>
      </c>
      <c r="D24" s="2">
        <v>50</v>
      </c>
      <c r="E24" s="2">
        <v>60</v>
      </c>
    </row>
    <row r="25" spans="2:5" x14ac:dyDescent="0.25">
      <c r="C25" s="2">
        <v>80</v>
      </c>
      <c r="D25" s="2">
        <v>40</v>
      </c>
      <c r="E25" s="2">
        <v>70</v>
      </c>
    </row>
    <row r="26" spans="2:5" x14ac:dyDescent="0.25">
      <c r="C26" s="2">
        <v>90</v>
      </c>
      <c r="D26" s="2">
        <v>10</v>
      </c>
      <c r="E26" s="2">
        <v>90</v>
      </c>
    </row>
    <row r="28" spans="2:5" x14ac:dyDescent="0.25">
      <c r="B28" s="5" t="s">
        <v>47</v>
      </c>
      <c r="C28" s="2">
        <v>50</v>
      </c>
      <c r="D28" s="2">
        <v>50</v>
      </c>
      <c r="E28" s="2">
        <v>50</v>
      </c>
    </row>
    <row r="29" spans="2:5" x14ac:dyDescent="0.25">
      <c r="B29" s="5" t="s">
        <v>48</v>
      </c>
      <c r="C29" s="2"/>
      <c r="D29" s="2"/>
      <c r="E29" s="2"/>
    </row>
    <row r="30" spans="2:5" ht="18.75" x14ac:dyDescent="0.3">
      <c r="B30" s="5" t="s">
        <v>49</v>
      </c>
      <c r="C30" s="7" t="s">
        <v>51</v>
      </c>
      <c r="D30" s="6"/>
    </row>
    <row r="35" spans="2:5" x14ac:dyDescent="0.25">
      <c r="C35" s="5" t="s">
        <v>44</v>
      </c>
      <c r="D35" s="5" t="s">
        <v>45</v>
      </c>
      <c r="E35" s="5" t="s">
        <v>46</v>
      </c>
    </row>
    <row r="36" spans="2:5" x14ac:dyDescent="0.25">
      <c r="C36" s="2">
        <v>10</v>
      </c>
      <c r="D36" s="2">
        <v>100</v>
      </c>
      <c r="E36" s="2">
        <v>90</v>
      </c>
    </row>
    <row r="37" spans="2:5" x14ac:dyDescent="0.25">
      <c r="C37" s="2">
        <v>20</v>
      </c>
      <c r="D37" s="2">
        <v>80</v>
      </c>
      <c r="E37" s="2">
        <v>70</v>
      </c>
    </row>
    <row r="38" spans="2:5" x14ac:dyDescent="0.25">
      <c r="C38" s="2">
        <v>30</v>
      </c>
      <c r="D38" s="2">
        <v>70</v>
      </c>
      <c r="E38" s="2">
        <v>60</v>
      </c>
    </row>
    <row r="39" spans="2:5" x14ac:dyDescent="0.25">
      <c r="C39" s="2">
        <v>50</v>
      </c>
      <c r="D39" s="2">
        <v>50</v>
      </c>
      <c r="E39" s="2">
        <v>55</v>
      </c>
    </row>
    <row r="40" spans="2:5" x14ac:dyDescent="0.25">
      <c r="C40" s="2">
        <v>80</v>
      </c>
      <c r="D40" s="2">
        <v>40</v>
      </c>
      <c r="E40" s="2">
        <v>40</v>
      </c>
    </row>
    <row r="41" spans="2:5" x14ac:dyDescent="0.25">
      <c r="C41" s="2">
        <v>90</v>
      </c>
      <c r="D41" s="2">
        <v>10</v>
      </c>
      <c r="E41" s="2">
        <v>30</v>
      </c>
    </row>
    <row r="43" spans="2:5" x14ac:dyDescent="0.25">
      <c r="B43" s="5" t="s">
        <v>47</v>
      </c>
      <c r="C43" s="57">
        <v>50</v>
      </c>
      <c r="D43" s="57">
        <v>50</v>
      </c>
      <c r="E43" s="57">
        <v>50</v>
      </c>
    </row>
    <row r="44" spans="2:5" x14ac:dyDescent="0.25">
      <c r="B44" s="5" t="s">
        <v>48</v>
      </c>
      <c r="C44" s="2"/>
      <c r="D44" s="2"/>
      <c r="E44" s="2"/>
    </row>
    <row r="45" spans="2:5" ht="18.75" x14ac:dyDescent="0.3">
      <c r="B45" s="5" t="s">
        <v>49</v>
      </c>
      <c r="C45" s="7" t="s">
        <v>52</v>
      </c>
      <c r="D45" s="6"/>
    </row>
    <row r="47" spans="2:5" x14ac:dyDescent="0.25">
      <c r="C47" s="1">
        <f>MATCH(C43,C36:C41,1)</f>
        <v>4</v>
      </c>
      <c r="D47" s="1">
        <f>MATCH(D43,D36:D41,-1)</f>
        <v>4</v>
      </c>
      <c r="E47" s="1">
        <f>MATCH(E43,E36:E41,-1)</f>
        <v>4</v>
      </c>
    </row>
    <row r="48" spans="2:5" x14ac:dyDescent="0.25">
      <c r="C48" s="1">
        <f>MATCH(C43,C36:C41,0)</f>
        <v>4</v>
      </c>
      <c r="D48" s="1">
        <f>MATCH(D44,D37:D42,-1)</f>
        <v>5</v>
      </c>
      <c r="E48" s="1">
        <f>MATCH(38,$E$36:$E$41,-1)</f>
        <v>5</v>
      </c>
    </row>
    <row r="50" spans="3:5" x14ac:dyDescent="0.25">
      <c r="C50" s="1">
        <f>MATCH(C43,C36:C41,0)</f>
        <v>4</v>
      </c>
    </row>
    <row r="52" spans="3:5" x14ac:dyDescent="0.25">
      <c r="C52" s="1">
        <f>MATCH(D43,D36:D41,-1)</f>
        <v>4</v>
      </c>
      <c r="D52" s="1">
        <f>MATCH(D43,D36:D41,-1)</f>
        <v>4</v>
      </c>
      <c r="E52" s="1" t="e">
        <f>MATCH(E43,E36:E41,0)</f>
        <v>#N/A</v>
      </c>
    </row>
  </sheetData>
  <sortState ref="E21:E26">
    <sortCondition ref="E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28"/>
  <sheetViews>
    <sheetView topLeftCell="B7" workbookViewId="0">
      <selection activeCell="H25" sqref="H25"/>
    </sheetView>
  </sheetViews>
  <sheetFormatPr defaultRowHeight="15" x14ac:dyDescent="0.25"/>
  <cols>
    <col min="1" max="4" width="9.140625" style="1"/>
    <col min="5" max="5" width="13.7109375" style="1" bestFit="1" customWidth="1"/>
    <col min="6" max="6" width="10.5703125" style="1" bestFit="1" customWidth="1"/>
    <col min="7" max="7" width="9.140625" style="1"/>
    <col min="8" max="8" width="26.42578125" style="1" bestFit="1" customWidth="1"/>
    <col min="9" max="9" width="29.140625" style="1" bestFit="1" customWidth="1"/>
    <col min="10" max="10" width="9.140625" style="1"/>
    <col min="11" max="11" width="10" style="1" bestFit="1" customWidth="1"/>
    <col min="12" max="16384" width="9.140625" style="1"/>
  </cols>
  <sheetData>
    <row r="2" spans="3:13" x14ac:dyDescent="0.25">
      <c r="C2" s="3" t="s">
        <v>53</v>
      </c>
      <c r="D2" s="8"/>
      <c r="E2" s="8"/>
      <c r="F2" s="8"/>
      <c r="H2" s="5" t="s">
        <v>58</v>
      </c>
      <c r="I2" s="2">
        <v>2</v>
      </c>
      <c r="K2" s="1" t="str">
        <f>INDEX(C3:C6,2)</f>
        <v>Blue</v>
      </c>
    </row>
    <row r="3" spans="3:13" x14ac:dyDescent="0.25">
      <c r="C3" s="2" t="s">
        <v>54</v>
      </c>
      <c r="D3" s="8"/>
      <c r="E3" s="8"/>
      <c r="F3" s="8"/>
      <c r="H3" s="5" t="s">
        <v>59</v>
      </c>
      <c r="I3" s="2"/>
    </row>
    <row r="4" spans="3:13" x14ac:dyDescent="0.25">
      <c r="C4" s="2" t="s">
        <v>55</v>
      </c>
      <c r="D4" s="8"/>
      <c r="E4" s="8"/>
      <c r="F4" s="8"/>
      <c r="H4" s="5" t="s">
        <v>49</v>
      </c>
      <c r="I4" s="2" t="s">
        <v>60</v>
      </c>
    </row>
    <row r="5" spans="3:13" x14ac:dyDescent="0.25">
      <c r="C5" s="2" t="s">
        <v>56</v>
      </c>
      <c r="D5" s="8"/>
      <c r="E5" s="8"/>
      <c r="F5" s="8"/>
    </row>
    <row r="6" spans="3:13" x14ac:dyDescent="0.25">
      <c r="C6" s="2" t="s">
        <v>57</v>
      </c>
      <c r="D6" s="8"/>
      <c r="E6" s="8"/>
      <c r="F6" s="8"/>
    </row>
    <row r="9" spans="3:13" x14ac:dyDescent="0.25">
      <c r="K9" s="1" t="str">
        <f>INDEX(CountryInfo,3,1)</f>
        <v>INR</v>
      </c>
    </row>
    <row r="12" spans="3:13" x14ac:dyDescent="0.25">
      <c r="C12" s="3" t="s">
        <v>61</v>
      </c>
      <c r="D12" s="3" t="s">
        <v>62</v>
      </c>
      <c r="E12" s="3" t="s">
        <v>78</v>
      </c>
      <c r="F12" s="3" t="s">
        <v>91</v>
      </c>
      <c r="H12" s="5" t="s">
        <v>68</v>
      </c>
      <c r="I12" s="2">
        <v>2</v>
      </c>
      <c r="M12" s="1" t="str">
        <f>INDEX(C12:F18,4,2)</f>
        <v>INR</v>
      </c>
    </row>
    <row r="13" spans="3:13" x14ac:dyDescent="0.25">
      <c r="C13" s="3" t="s">
        <v>64</v>
      </c>
      <c r="D13" s="2" t="s">
        <v>70</v>
      </c>
      <c r="E13" s="2" t="s">
        <v>82</v>
      </c>
      <c r="F13" s="2" t="s">
        <v>65</v>
      </c>
      <c r="H13" s="5" t="s">
        <v>69</v>
      </c>
      <c r="I13" s="2">
        <v>3</v>
      </c>
      <c r="M13" s="1" t="str">
        <f>INDEX(C12:F18,2,3)</f>
        <v>Europe</v>
      </c>
    </row>
    <row r="14" spans="3:13" x14ac:dyDescent="0.25">
      <c r="C14" s="3" t="s">
        <v>79</v>
      </c>
      <c r="D14" s="2" t="s">
        <v>80</v>
      </c>
      <c r="E14" s="2" t="s">
        <v>83</v>
      </c>
      <c r="F14" s="2" t="s">
        <v>81</v>
      </c>
      <c r="H14" s="5" t="s">
        <v>89</v>
      </c>
      <c r="I14" s="2"/>
    </row>
    <row r="15" spans="3:13" x14ac:dyDescent="0.25">
      <c r="C15" s="3" t="s">
        <v>71</v>
      </c>
      <c r="D15" s="2" t="s">
        <v>72</v>
      </c>
      <c r="E15" s="2" t="s">
        <v>83</v>
      </c>
      <c r="F15" s="2" t="s">
        <v>76</v>
      </c>
      <c r="H15" s="5" t="s">
        <v>12</v>
      </c>
      <c r="I15" s="2" t="s">
        <v>88</v>
      </c>
      <c r="K15" s="1" t="e">
        <f>INDEX($C$12:$F$18,2,)</f>
        <v>#VALUE!</v>
      </c>
    </row>
    <row r="16" spans="3:13" x14ac:dyDescent="0.25">
      <c r="C16" s="3" t="s">
        <v>66</v>
      </c>
      <c r="D16" s="2" t="s">
        <v>73</v>
      </c>
      <c r="E16" s="2" t="s">
        <v>82</v>
      </c>
      <c r="F16" s="2" t="s">
        <v>67</v>
      </c>
      <c r="L16" s="1" t="str">
        <f>INDEX(CountryInfo,I12,I13)</f>
        <v>Tokyo</v>
      </c>
    </row>
    <row r="17" spans="3:9" x14ac:dyDescent="0.25">
      <c r="C17" s="3" t="s">
        <v>74</v>
      </c>
      <c r="D17" s="2" t="s">
        <v>75</v>
      </c>
      <c r="E17" s="2" t="s">
        <v>84</v>
      </c>
      <c r="F17" s="2" t="s">
        <v>77</v>
      </c>
    </row>
    <row r="18" spans="3:9" x14ac:dyDescent="0.25">
      <c r="C18" s="3" t="s">
        <v>85</v>
      </c>
      <c r="D18" s="2" t="s">
        <v>86</v>
      </c>
      <c r="E18" s="2" t="s">
        <v>84</v>
      </c>
      <c r="F18" s="2" t="s">
        <v>87</v>
      </c>
      <c r="H18" s="5" t="s">
        <v>68</v>
      </c>
      <c r="I18" s="2">
        <v>2</v>
      </c>
    </row>
    <row r="19" spans="3:9" x14ac:dyDescent="0.25">
      <c r="H19" s="5" t="s">
        <v>69</v>
      </c>
      <c r="I19" s="2">
        <v>3</v>
      </c>
    </row>
    <row r="20" spans="3:9" x14ac:dyDescent="0.25">
      <c r="H20" s="5" t="s">
        <v>89</v>
      </c>
      <c r="I20" s="2"/>
    </row>
    <row r="21" spans="3:9" x14ac:dyDescent="0.25">
      <c r="H21" s="5" t="s">
        <v>12</v>
      </c>
      <c r="I21" s="2" t="s">
        <v>90</v>
      </c>
    </row>
    <row r="23" spans="3:9" x14ac:dyDescent="0.25">
      <c r="C23" s="3" t="s">
        <v>317</v>
      </c>
      <c r="D23" s="3" t="s">
        <v>318</v>
      </c>
      <c r="E23" s="3" t="s">
        <v>319</v>
      </c>
    </row>
    <row r="24" spans="3:9" x14ac:dyDescent="0.25">
      <c r="C24" s="59" t="s">
        <v>320</v>
      </c>
      <c r="D24" s="58">
        <v>200</v>
      </c>
      <c r="E24" s="58">
        <v>200</v>
      </c>
    </row>
    <row r="25" spans="3:9" x14ac:dyDescent="0.25">
      <c r="C25" s="59" t="s">
        <v>321</v>
      </c>
      <c r="D25" s="58">
        <v>400</v>
      </c>
      <c r="E25" s="58">
        <v>150</v>
      </c>
    </row>
    <row r="26" spans="3:9" x14ac:dyDescent="0.25">
      <c r="C26" s="59" t="s">
        <v>322</v>
      </c>
      <c r="D26" s="58">
        <v>350</v>
      </c>
      <c r="E26" s="58">
        <v>180</v>
      </c>
    </row>
    <row r="27" spans="3:9" x14ac:dyDescent="0.25">
      <c r="C27" s="59" t="s">
        <v>323</v>
      </c>
      <c r="D27" s="58">
        <v>250</v>
      </c>
      <c r="E27" s="58">
        <v>250</v>
      </c>
    </row>
    <row r="28" spans="3:9" x14ac:dyDescent="0.25">
      <c r="C28" s="59" t="s">
        <v>324</v>
      </c>
      <c r="D28" s="58">
        <v>300</v>
      </c>
      <c r="E28" s="58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19"/>
  <sheetViews>
    <sheetView topLeftCell="A3" workbookViewId="0">
      <selection activeCell="I14" sqref="I14"/>
    </sheetView>
  </sheetViews>
  <sheetFormatPr defaultRowHeight="15" x14ac:dyDescent="0.25"/>
  <cols>
    <col min="1" max="1" width="2.7109375" customWidth="1"/>
    <col min="2" max="2" width="8.7109375" bestFit="1" customWidth="1"/>
    <col min="3" max="3" width="10.85546875" bestFit="1" customWidth="1"/>
    <col min="4" max="4" width="21.42578125" bestFit="1" customWidth="1"/>
    <col min="5" max="5" width="10.5703125" bestFit="1" customWidth="1"/>
    <col min="6" max="6" width="3.28515625" customWidth="1"/>
    <col min="7" max="7" width="3.85546875" customWidth="1"/>
    <col min="8" max="8" width="17.5703125" bestFit="1" customWidth="1"/>
    <col min="9" max="9" width="31.140625" bestFit="1" customWidth="1"/>
  </cols>
  <sheetData>
    <row r="4" spans="2:9" x14ac:dyDescent="0.25">
      <c r="B4" s="3" t="s">
        <v>61</v>
      </c>
      <c r="C4" s="3" t="s">
        <v>62</v>
      </c>
      <c r="D4" s="3" t="s">
        <v>78</v>
      </c>
      <c r="E4" s="3" t="s">
        <v>91</v>
      </c>
      <c r="H4" s="5" t="s">
        <v>68</v>
      </c>
      <c r="I4" s="2">
        <v>2</v>
      </c>
    </row>
    <row r="5" spans="2:9" x14ac:dyDescent="0.25">
      <c r="B5" s="3" t="s">
        <v>64</v>
      </c>
      <c r="C5" s="2" t="s">
        <v>70</v>
      </c>
      <c r="D5" s="2" t="s">
        <v>82</v>
      </c>
      <c r="E5" s="2" t="s">
        <v>65</v>
      </c>
      <c r="H5" s="5" t="s">
        <v>69</v>
      </c>
      <c r="I5" s="2">
        <v>3</v>
      </c>
    </row>
    <row r="6" spans="2:9" x14ac:dyDescent="0.25">
      <c r="B6" s="3" t="s">
        <v>79</v>
      </c>
      <c r="C6" s="2" t="s">
        <v>80</v>
      </c>
      <c r="D6" s="2" t="s">
        <v>83</v>
      </c>
      <c r="E6" s="2" t="s">
        <v>81</v>
      </c>
      <c r="H6" s="5" t="s">
        <v>106</v>
      </c>
      <c r="I6" s="2">
        <v>2</v>
      </c>
    </row>
    <row r="7" spans="2:9" x14ac:dyDescent="0.25">
      <c r="B7" s="3" t="s">
        <v>71</v>
      </c>
      <c r="C7" s="2" t="s">
        <v>72</v>
      </c>
      <c r="D7" s="2" t="s">
        <v>83</v>
      </c>
      <c r="E7" s="2" t="s">
        <v>76</v>
      </c>
      <c r="H7" s="5" t="s">
        <v>89</v>
      </c>
      <c r="I7" s="2"/>
    </row>
    <row r="8" spans="2:9" x14ac:dyDescent="0.25">
      <c r="B8" s="3" t="s">
        <v>66</v>
      </c>
      <c r="C8" s="2" t="s">
        <v>73</v>
      </c>
      <c r="D8" s="2" t="s">
        <v>82</v>
      </c>
      <c r="E8" s="2" t="s">
        <v>67</v>
      </c>
      <c r="H8" s="5" t="s">
        <v>12</v>
      </c>
      <c r="I8" s="2" t="s">
        <v>107</v>
      </c>
    </row>
    <row r="9" spans="2:9" x14ac:dyDescent="0.25">
      <c r="B9" s="3" t="s">
        <v>74</v>
      </c>
      <c r="C9" s="2" t="s">
        <v>75</v>
      </c>
      <c r="D9" s="2" t="s">
        <v>84</v>
      </c>
      <c r="E9" s="2" t="s">
        <v>77</v>
      </c>
    </row>
    <row r="10" spans="2:9" x14ac:dyDescent="0.25">
      <c r="B10" s="3" t="s">
        <v>85</v>
      </c>
      <c r="C10" s="2" t="s">
        <v>86</v>
      </c>
      <c r="D10" s="2" t="s">
        <v>84</v>
      </c>
      <c r="E10" s="2" t="s">
        <v>87</v>
      </c>
    </row>
    <row r="13" spans="2:9" x14ac:dyDescent="0.25">
      <c r="B13" s="3" t="s">
        <v>61</v>
      </c>
      <c r="C13" s="3" t="s">
        <v>63</v>
      </c>
      <c r="D13" s="3" t="s">
        <v>92</v>
      </c>
      <c r="E13" s="3" t="s">
        <v>97</v>
      </c>
    </row>
    <row r="14" spans="2:9" x14ac:dyDescent="0.25">
      <c r="B14" s="3" t="s">
        <v>64</v>
      </c>
      <c r="C14" s="2" t="s">
        <v>103</v>
      </c>
      <c r="D14" s="9" t="s">
        <v>98</v>
      </c>
      <c r="E14" s="2" t="s">
        <v>94</v>
      </c>
      <c r="I14" t="str">
        <f>INDEX(BOX,2,3,2)</f>
        <v>Constitutional monarchy</v>
      </c>
    </row>
    <row r="15" spans="2:9" x14ac:dyDescent="0.25">
      <c r="B15" s="3" t="s">
        <v>79</v>
      </c>
      <c r="C15" s="2" t="s">
        <v>104</v>
      </c>
      <c r="D15" s="2" t="s">
        <v>98</v>
      </c>
      <c r="E15" s="2" t="s">
        <v>93</v>
      </c>
    </row>
    <row r="16" spans="2:9" x14ac:dyDescent="0.25">
      <c r="B16" s="3" t="s">
        <v>71</v>
      </c>
      <c r="C16" s="2" t="s">
        <v>105</v>
      </c>
      <c r="D16" s="2" t="s">
        <v>99</v>
      </c>
      <c r="E16" s="2" t="s">
        <v>96</v>
      </c>
    </row>
    <row r="17" spans="2:5" x14ac:dyDescent="0.25">
      <c r="B17" s="3" t="s">
        <v>66</v>
      </c>
      <c r="C17" s="2" t="s">
        <v>102</v>
      </c>
      <c r="D17" s="2" t="s">
        <v>98</v>
      </c>
      <c r="E17" s="2" t="s">
        <v>95</v>
      </c>
    </row>
    <row r="18" spans="2:5" x14ac:dyDescent="0.25">
      <c r="B18" s="3" t="s">
        <v>74</v>
      </c>
      <c r="C18" s="2" t="s">
        <v>101</v>
      </c>
      <c r="D18" s="2" t="s">
        <v>99</v>
      </c>
      <c r="E18" s="2" t="s">
        <v>94</v>
      </c>
    </row>
    <row r="19" spans="2:5" x14ac:dyDescent="0.25">
      <c r="B19" s="3" t="s">
        <v>85</v>
      </c>
      <c r="C19" s="2" t="s">
        <v>100</v>
      </c>
      <c r="D19" s="2" t="s">
        <v>98</v>
      </c>
      <c r="E19" s="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3"/>
  <sheetViews>
    <sheetView topLeftCell="B1" workbookViewId="0">
      <selection activeCell="N17" sqref="N17"/>
    </sheetView>
  </sheetViews>
  <sheetFormatPr defaultRowHeight="15" x14ac:dyDescent="0.25"/>
  <cols>
    <col min="1" max="1" width="9.140625" style="13" customWidth="1"/>
    <col min="2" max="2" width="3" style="13" bestFit="1" customWidth="1"/>
    <col min="3" max="3" width="19.28515625" style="13" bestFit="1" customWidth="1"/>
    <col min="4" max="4" width="16.7109375" style="13" hidden="1" customWidth="1"/>
    <col min="5" max="5" width="6.28515625" style="13" bestFit="1" customWidth="1"/>
    <col min="6" max="8" width="6.42578125" style="13" bestFit="1" customWidth="1"/>
    <col min="9" max="9" width="21" style="13" customWidth="1"/>
    <col min="10" max="10" width="10.5703125" style="13" bestFit="1" customWidth="1"/>
    <col min="11" max="13" width="9.140625" style="13"/>
    <col min="14" max="14" width="24.140625" style="13" customWidth="1"/>
    <col min="15" max="15" width="6.7109375" style="13" bestFit="1" customWidth="1"/>
    <col min="16" max="16" width="10.5703125" style="13" bestFit="1" customWidth="1"/>
    <col min="17" max="16384" width="9.140625" style="13"/>
  </cols>
  <sheetData>
    <row r="2" spans="2:16" x14ac:dyDescent="0.25">
      <c r="B2" s="16" t="s">
        <v>108</v>
      </c>
      <c r="C2" s="16" t="s">
        <v>109</v>
      </c>
      <c r="D2" s="16" t="s">
        <v>110</v>
      </c>
      <c r="E2" s="16" t="s">
        <v>111</v>
      </c>
      <c r="F2" s="16" t="s">
        <v>112</v>
      </c>
      <c r="G2" s="16" t="s">
        <v>113</v>
      </c>
      <c r="H2" s="16" t="s">
        <v>114</v>
      </c>
      <c r="I2" s="16" t="s">
        <v>115</v>
      </c>
      <c r="J2" s="16" t="s">
        <v>163</v>
      </c>
      <c r="O2" s="16" t="s">
        <v>164</v>
      </c>
      <c r="P2" s="16" t="s">
        <v>163</v>
      </c>
    </row>
    <row r="3" spans="2:16" x14ac:dyDescent="0.25">
      <c r="B3" s="11">
        <v>1</v>
      </c>
      <c r="C3" s="11" t="s">
        <v>116</v>
      </c>
      <c r="D3" s="11" t="s">
        <v>117</v>
      </c>
      <c r="E3" s="12">
        <v>0.63</v>
      </c>
      <c r="F3" s="12">
        <v>0.35</v>
      </c>
      <c r="G3" s="12">
        <v>0.35</v>
      </c>
      <c r="H3" s="12">
        <v>0.52</v>
      </c>
      <c r="I3" s="12">
        <f>AVERAGE(E3:H3)</f>
        <v>0.46250000000000002</v>
      </c>
      <c r="J3" s="12" t="str">
        <f>INDEX($P$3:$P$7,MATCH(I3,$O$3:$O$7,1))</f>
        <v>Fair</v>
      </c>
      <c r="K3" s="13" t="s">
        <v>165</v>
      </c>
      <c r="O3" s="15">
        <v>0</v>
      </c>
      <c r="P3" s="14" t="s">
        <v>158</v>
      </c>
    </row>
    <row r="4" spans="2:16" x14ac:dyDescent="0.25">
      <c r="B4" s="11">
        <v>2</v>
      </c>
      <c r="C4" s="11" t="s">
        <v>118</v>
      </c>
      <c r="D4" s="11" t="s">
        <v>119</v>
      </c>
      <c r="E4" s="12">
        <v>0.59</v>
      </c>
      <c r="F4" s="12">
        <v>0.89</v>
      </c>
      <c r="G4" s="12">
        <v>0.6</v>
      </c>
      <c r="H4" s="12">
        <v>0.76</v>
      </c>
      <c r="I4" s="12">
        <f t="shared" ref="I4:I23" si="0">AVERAGE(E4:H4)</f>
        <v>0.71</v>
      </c>
      <c r="J4" s="12"/>
      <c r="O4" s="15">
        <v>0.4</v>
      </c>
      <c r="P4" s="14" t="s">
        <v>159</v>
      </c>
    </row>
    <row r="5" spans="2:16" x14ac:dyDescent="0.25">
      <c r="B5" s="11">
        <v>3</v>
      </c>
      <c r="C5" s="11" t="s">
        <v>120</v>
      </c>
      <c r="D5" s="11" t="s">
        <v>121</v>
      </c>
      <c r="E5" s="12">
        <v>0.44</v>
      </c>
      <c r="F5" s="12">
        <v>0.98</v>
      </c>
      <c r="G5" s="12">
        <v>0.73</v>
      </c>
      <c r="H5" s="12">
        <v>0.36</v>
      </c>
      <c r="I5" s="12">
        <f t="shared" si="0"/>
        <v>0.62749999999999995</v>
      </c>
      <c r="J5" s="12"/>
      <c r="K5" s="13" t="str">
        <f>INDEX($P$3:$P$7,MATCH(I3,$O$3:$O$7,1))</f>
        <v>Fair</v>
      </c>
      <c r="O5" s="15">
        <v>0.6</v>
      </c>
      <c r="P5" s="14" t="s">
        <v>160</v>
      </c>
    </row>
    <row r="6" spans="2:16" x14ac:dyDescent="0.25">
      <c r="B6" s="11">
        <v>4</v>
      </c>
      <c r="C6" s="11" t="s">
        <v>122</v>
      </c>
      <c r="D6" s="11" t="s">
        <v>123</v>
      </c>
      <c r="E6" s="12">
        <v>0.51</v>
      </c>
      <c r="F6" s="12">
        <v>0.53</v>
      </c>
      <c r="G6" s="12">
        <v>0.89</v>
      </c>
      <c r="H6" s="12">
        <v>0.71</v>
      </c>
      <c r="I6" s="12">
        <f t="shared" si="0"/>
        <v>0.66</v>
      </c>
      <c r="J6" s="12"/>
      <c r="O6" s="15">
        <v>0.7</v>
      </c>
      <c r="P6" s="14" t="s">
        <v>161</v>
      </c>
    </row>
    <row r="7" spans="2:16" x14ac:dyDescent="0.25">
      <c r="B7" s="11">
        <v>5</v>
      </c>
      <c r="C7" s="11" t="s">
        <v>124</v>
      </c>
      <c r="D7" s="11" t="s">
        <v>125</v>
      </c>
      <c r="E7" s="12">
        <v>0.67</v>
      </c>
      <c r="F7" s="12">
        <v>0.4</v>
      </c>
      <c r="G7" s="12">
        <v>0.65</v>
      </c>
      <c r="H7" s="12">
        <v>0.69</v>
      </c>
      <c r="I7" s="12">
        <f t="shared" si="0"/>
        <v>0.60250000000000004</v>
      </c>
      <c r="J7" s="12"/>
      <c r="O7" s="15">
        <v>0.8</v>
      </c>
      <c r="P7" s="14" t="s">
        <v>162</v>
      </c>
    </row>
    <row r="8" spans="2:16" x14ac:dyDescent="0.25">
      <c r="B8" s="11">
        <v>6</v>
      </c>
      <c r="C8" s="11" t="s">
        <v>126</v>
      </c>
      <c r="D8" s="11" t="s">
        <v>127</v>
      </c>
      <c r="E8" s="12">
        <v>0.33</v>
      </c>
      <c r="F8" s="12">
        <v>0.33</v>
      </c>
      <c r="G8" s="12">
        <v>0.35</v>
      </c>
      <c r="H8" s="12">
        <v>0.45</v>
      </c>
      <c r="I8" s="12">
        <f t="shared" si="0"/>
        <v>0.36499999999999999</v>
      </c>
      <c r="J8" s="12"/>
    </row>
    <row r="9" spans="2:16" x14ac:dyDescent="0.25">
      <c r="B9" s="11">
        <v>7</v>
      </c>
      <c r="C9" s="11" t="s">
        <v>128</v>
      </c>
      <c r="D9" s="11" t="s">
        <v>129</v>
      </c>
      <c r="E9" s="12">
        <v>0.91</v>
      </c>
      <c r="F9" s="12">
        <v>0.52</v>
      </c>
      <c r="G9" s="12">
        <v>0.57999999999999996</v>
      </c>
      <c r="H9" s="12">
        <v>0.41</v>
      </c>
      <c r="I9" s="12">
        <f t="shared" si="0"/>
        <v>0.60500000000000009</v>
      </c>
      <c r="J9" s="12"/>
    </row>
    <row r="10" spans="2:16" x14ac:dyDescent="0.25">
      <c r="B10" s="11">
        <v>8</v>
      </c>
      <c r="C10" s="11" t="s">
        <v>130</v>
      </c>
      <c r="D10" s="11" t="s">
        <v>131</v>
      </c>
      <c r="E10" s="12">
        <v>0.99</v>
      </c>
      <c r="F10" s="12">
        <v>0.57999999999999996</v>
      </c>
      <c r="G10" s="12">
        <v>0.59</v>
      </c>
      <c r="H10" s="12">
        <v>0.59</v>
      </c>
      <c r="I10" s="12">
        <f t="shared" si="0"/>
        <v>0.68749999999999989</v>
      </c>
      <c r="J10" s="12"/>
    </row>
    <row r="11" spans="2:16" x14ac:dyDescent="0.25">
      <c r="B11" s="11">
        <v>9</v>
      </c>
      <c r="C11" s="11" t="s">
        <v>132</v>
      </c>
      <c r="D11" s="11" t="s">
        <v>133</v>
      </c>
      <c r="E11" s="12">
        <v>0.91</v>
      </c>
      <c r="F11" s="12">
        <v>0.57999999999999996</v>
      </c>
      <c r="G11" s="12">
        <v>0.74</v>
      </c>
      <c r="H11" s="12">
        <v>0.71</v>
      </c>
      <c r="I11" s="12">
        <f t="shared" si="0"/>
        <v>0.73499999999999999</v>
      </c>
      <c r="J11" s="12"/>
    </row>
    <row r="12" spans="2:16" x14ac:dyDescent="0.25">
      <c r="B12" s="11">
        <v>10</v>
      </c>
      <c r="C12" s="11" t="s">
        <v>134</v>
      </c>
      <c r="D12" s="11" t="s">
        <v>135</v>
      </c>
      <c r="E12" s="12">
        <v>0.59</v>
      </c>
      <c r="F12" s="12">
        <v>0.93</v>
      </c>
      <c r="G12" s="12">
        <v>0.9</v>
      </c>
      <c r="H12" s="12">
        <v>0.93</v>
      </c>
      <c r="I12" s="12">
        <f t="shared" si="0"/>
        <v>0.83750000000000002</v>
      </c>
      <c r="J12" s="12"/>
    </row>
    <row r="13" spans="2:16" x14ac:dyDescent="0.25">
      <c r="B13" s="11">
        <v>11</v>
      </c>
      <c r="C13" s="11" t="s">
        <v>136</v>
      </c>
      <c r="D13" s="11" t="s">
        <v>137</v>
      </c>
      <c r="E13" s="12">
        <v>0.92</v>
      </c>
      <c r="F13" s="12">
        <v>0.51</v>
      </c>
      <c r="G13" s="12">
        <v>0.8</v>
      </c>
      <c r="H13" s="12">
        <v>0.38</v>
      </c>
      <c r="I13" s="12">
        <f t="shared" si="0"/>
        <v>0.65250000000000008</v>
      </c>
      <c r="J13" s="12"/>
    </row>
    <row r="14" spans="2:16" x14ac:dyDescent="0.25">
      <c r="B14" s="11">
        <v>12</v>
      </c>
      <c r="C14" s="11" t="s">
        <v>138</v>
      </c>
      <c r="D14" s="11" t="s">
        <v>139</v>
      </c>
      <c r="E14" s="12">
        <v>0.78</v>
      </c>
      <c r="F14" s="12">
        <v>0.69</v>
      </c>
      <c r="G14" s="12">
        <v>0.38</v>
      </c>
      <c r="H14" s="12">
        <v>0.88</v>
      </c>
      <c r="I14" s="12">
        <f t="shared" si="0"/>
        <v>0.6825</v>
      </c>
      <c r="J14" s="12"/>
    </row>
    <row r="15" spans="2:16" x14ac:dyDescent="0.25">
      <c r="B15" s="11">
        <v>13</v>
      </c>
      <c r="C15" s="11" t="s">
        <v>140</v>
      </c>
      <c r="D15" s="11" t="s">
        <v>141</v>
      </c>
      <c r="E15" s="12">
        <v>0.47</v>
      </c>
      <c r="F15" s="12">
        <v>0.37</v>
      </c>
      <c r="G15" s="12">
        <v>0.54</v>
      </c>
      <c r="H15" s="12">
        <v>0.59</v>
      </c>
      <c r="I15" s="12">
        <f t="shared" si="0"/>
        <v>0.49249999999999994</v>
      </c>
      <c r="J15" s="12"/>
    </row>
    <row r="16" spans="2:16" x14ac:dyDescent="0.25">
      <c r="B16" s="11">
        <v>14</v>
      </c>
      <c r="C16" s="11" t="s">
        <v>142</v>
      </c>
      <c r="D16" s="11" t="s">
        <v>143</v>
      </c>
      <c r="E16" s="12">
        <v>0.73</v>
      </c>
      <c r="F16" s="12">
        <v>0.45</v>
      </c>
      <c r="G16" s="12">
        <v>0.96</v>
      </c>
      <c r="H16" s="12">
        <v>0.42</v>
      </c>
      <c r="I16" s="12">
        <f t="shared" si="0"/>
        <v>0.6399999999999999</v>
      </c>
      <c r="J16" s="12"/>
    </row>
    <row r="17" spans="2:10" x14ac:dyDescent="0.25">
      <c r="B17" s="11">
        <v>15</v>
      </c>
      <c r="C17" s="11" t="s">
        <v>144</v>
      </c>
      <c r="D17" s="11" t="s">
        <v>145</v>
      </c>
      <c r="E17" s="12">
        <v>0.62</v>
      </c>
      <c r="F17" s="12">
        <v>0.47</v>
      </c>
      <c r="G17" s="12">
        <v>0.5</v>
      </c>
      <c r="H17" s="12">
        <v>0.46</v>
      </c>
      <c r="I17" s="12">
        <f t="shared" si="0"/>
        <v>0.51249999999999996</v>
      </c>
      <c r="J17" s="12"/>
    </row>
    <row r="18" spans="2:10" x14ac:dyDescent="0.25">
      <c r="B18" s="11">
        <v>16</v>
      </c>
      <c r="C18" s="11" t="s">
        <v>146</v>
      </c>
      <c r="D18" s="11" t="s">
        <v>147</v>
      </c>
      <c r="E18" s="12">
        <v>0.76</v>
      </c>
      <c r="F18" s="12">
        <v>0.72</v>
      </c>
      <c r="G18" s="12">
        <v>0.9</v>
      </c>
      <c r="H18" s="12">
        <v>0.43</v>
      </c>
      <c r="I18" s="12">
        <f t="shared" si="0"/>
        <v>0.70250000000000001</v>
      </c>
      <c r="J18" s="12"/>
    </row>
    <row r="19" spans="2:10" x14ac:dyDescent="0.25">
      <c r="B19" s="11">
        <v>17</v>
      </c>
      <c r="C19" s="11" t="s">
        <v>148</v>
      </c>
      <c r="D19" s="11" t="s">
        <v>149</v>
      </c>
      <c r="E19" s="12">
        <v>0.76</v>
      </c>
      <c r="F19" s="12">
        <v>0.64</v>
      </c>
      <c r="G19" s="12">
        <v>0.84</v>
      </c>
      <c r="H19" s="12">
        <v>0.75</v>
      </c>
      <c r="I19" s="12">
        <f t="shared" si="0"/>
        <v>0.74749999999999994</v>
      </c>
      <c r="J19" s="12"/>
    </row>
    <row r="20" spans="2:10" x14ac:dyDescent="0.25">
      <c r="B20" s="11">
        <v>18</v>
      </c>
      <c r="C20" s="11" t="s">
        <v>150</v>
      </c>
      <c r="D20" s="11" t="s">
        <v>151</v>
      </c>
      <c r="E20" s="12">
        <v>0.88</v>
      </c>
      <c r="F20" s="12">
        <v>0.72</v>
      </c>
      <c r="G20" s="12">
        <v>0.66</v>
      </c>
      <c r="H20" s="12">
        <v>0.61</v>
      </c>
      <c r="I20" s="12">
        <f t="shared" si="0"/>
        <v>0.71750000000000003</v>
      </c>
      <c r="J20" s="12"/>
    </row>
    <row r="21" spans="2:10" x14ac:dyDescent="0.25">
      <c r="B21" s="11">
        <v>19</v>
      </c>
      <c r="C21" s="11" t="s">
        <v>152</v>
      </c>
      <c r="D21" s="11" t="s">
        <v>153</v>
      </c>
      <c r="E21" s="12">
        <v>0.53</v>
      </c>
      <c r="F21" s="12">
        <v>0.57999999999999996</v>
      </c>
      <c r="G21" s="12">
        <v>0.83</v>
      </c>
      <c r="H21" s="12">
        <v>0.93</v>
      </c>
      <c r="I21" s="12">
        <f t="shared" si="0"/>
        <v>0.71750000000000003</v>
      </c>
      <c r="J21" s="12"/>
    </row>
    <row r="22" spans="2:10" x14ac:dyDescent="0.25">
      <c r="B22" s="11">
        <v>20</v>
      </c>
      <c r="C22" s="11" t="s">
        <v>154</v>
      </c>
      <c r="D22" s="11" t="s">
        <v>155</v>
      </c>
      <c r="E22" s="10">
        <v>0.37</v>
      </c>
      <c r="F22" s="10">
        <v>0.71</v>
      </c>
      <c r="G22" s="10">
        <v>0.73</v>
      </c>
      <c r="H22" s="10">
        <v>0.78</v>
      </c>
      <c r="I22" s="12">
        <f t="shared" si="0"/>
        <v>0.64749999999999996</v>
      </c>
      <c r="J22" s="12"/>
    </row>
    <row r="23" spans="2:10" x14ac:dyDescent="0.25">
      <c r="B23" s="11">
        <v>21</v>
      </c>
      <c r="C23" s="11" t="s">
        <v>156</v>
      </c>
      <c r="D23" s="11" t="s">
        <v>157</v>
      </c>
      <c r="E23" s="12">
        <v>0.87</v>
      </c>
      <c r="F23" s="12">
        <v>0.48</v>
      </c>
      <c r="G23" s="12">
        <v>0.64</v>
      </c>
      <c r="H23" s="12">
        <v>0.81</v>
      </c>
      <c r="I23" s="12">
        <f t="shared" si="0"/>
        <v>0.70000000000000007</v>
      </c>
      <c r="J23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opLeftCell="C1" zoomScale="90" zoomScaleNormal="90" workbookViewId="0">
      <selection activeCell="L1" sqref="L1:Q25"/>
    </sheetView>
  </sheetViews>
  <sheetFormatPr defaultRowHeight="15" x14ac:dyDescent="0.25"/>
  <cols>
    <col min="1" max="1" width="18.5703125" bestFit="1" customWidth="1"/>
    <col min="2" max="2" width="17.85546875" bestFit="1" customWidth="1"/>
    <col min="3" max="3" width="13.7109375" bestFit="1" customWidth="1"/>
    <col min="4" max="4" width="14.5703125" bestFit="1" customWidth="1"/>
    <col min="5" max="5" width="14.7109375" bestFit="1" customWidth="1"/>
    <col min="6" max="8" width="14.7109375" customWidth="1"/>
    <col min="12" max="12" width="14.140625" bestFit="1" customWidth="1"/>
    <col min="13" max="13" width="17.85546875" bestFit="1" customWidth="1"/>
  </cols>
  <sheetData>
    <row r="1" spans="1:17" ht="15.75" x14ac:dyDescent="0.25">
      <c r="A1" s="17" t="s">
        <v>245</v>
      </c>
      <c r="B1" s="17" t="s">
        <v>247</v>
      </c>
      <c r="C1" s="17" t="s">
        <v>171</v>
      </c>
      <c r="D1" s="17" t="s">
        <v>172</v>
      </c>
      <c r="E1" s="17" t="s">
        <v>246</v>
      </c>
      <c r="F1" s="17" t="s">
        <v>169</v>
      </c>
      <c r="L1" s="17" t="s">
        <v>247</v>
      </c>
      <c r="M1" s="17" t="s">
        <v>166</v>
      </c>
      <c r="N1" s="17" t="s">
        <v>167</v>
      </c>
      <c r="O1" s="17" t="s">
        <v>168</v>
      </c>
      <c r="P1" s="17" t="s">
        <v>169</v>
      </c>
      <c r="Q1" s="17" t="s">
        <v>170</v>
      </c>
    </row>
    <row r="2" spans="1:17" x14ac:dyDescent="0.25">
      <c r="A2" s="18">
        <v>40681</v>
      </c>
      <c r="B2" s="19" t="s">
        <v>257</v>
      </c>
      <c r="C2" s="19" t="s">
        <v>180</v>
      </c>
      <c r="D2" s="19" t="s">
        <v>196</v>
      </c>
      <c r="E2" s="19">
        <v>15.248800000000001</v>
      </c>
      <c r="F2" s="19" t="str">
        <f>VLOOKUP(B2,CustomerTable,5,FALSE)</f>
        <v>Washington</v>
      </c>
      <c r="G2" t="str">
        <f t="shared" ref="G2:G27" si="0">VLOOKUP(B2,CustomerTable,4,FALSE)</f>
        <v>Seattle</v>
      </c>
      <c r="H2" t="str">
        <f>VLOOKUP(B2,CustomerTable,2,FALSE)</f>
        <v>Harold Pawlan</v>
      </c>
      <c r="L2" s="19" t="s">
        <v>248</v>
      </c>
      <c r="M2" s="19" t="s">
        <v>212</v>
      </c>
      <c r="N2" s="19" t="s">
        <v>174</v>
      </c>
      <c r="O2" s="19" t="s">
        <v>209</v>
      </c>
      <c r="P2" s="19" t="s">
        <v>77</v>
      </c>
      <c r="Q2" s="19" t="s">
        <v>186</v>
      </c>
    </row>
    <row r="3" spans="1:17" x14ac:dyDescent="0.25">
      <c r="A3" s="20">
        <v>40697</v>
      </c>
      <c r="B3" s="1" t="s">
        <v>271</v>
      </c>
      <c r="C3" s="1" t="s">
        <v>180</v>
      </c>
      <c r="D3" s="1" t="s">
        <v>201</v>
      </c>
      <c r="E3" s="1">
        <v>63.817600000000006</v>
      </c>
      <c r="F3" s="1" t="str">
        <f t="shared" ref="F3:F23" si="1">VLOOKUP(B2,CustomerTable,5,TRUE)</f>
        <v>Washington</v>
      </c>
      <c r="G3" s="21" t="str">
        <f t="shared" si="0"/>
        <v>Seattle</v>
      </c>
      <c r="L3" s="1" t="s">
        <v>249</v>
      </c>
      <c r="M3" s="1" t="s">
        <v>203</v>
      </c>
      <c r="N3" s="1" t="s">
        <v>174</v>
      </c>
      <c r="O3" s="1" t="s">
        <v>204</v>
      </c>
      <c r="P3" s="1" t="s">
        <v>190</v>
      </c>
      <c r="Q3" s="1" t="s">
        <v>191</v>
      </c>
    </row>
    <row r="4" spans="1:17" x14ac:dyDescent="0.25">
      <c r="A4" s="18">
        <v>40770</v>
      </c>
      <c r="B4" s="19" t="s">
        <v>262</v>
      </c>
      <c r="C4" s="19" t="s">
        <v>180</v>
      </c>
      <c r="D4" s="19" t="s">
        <v>210</v>
      </c>
      <c r="E4" s="19">
        <v>4.2336</v>
      </c>
      <c r="F4" s="1" t="str">
        <f t="shared" si="1"/>
        <v>Washington</v>
      </c>
      <c r="G4" s="21" t="str">
        <f t="shared" si="0"/>
        <v>Denver</v>
      </c>
      <c r="L4" s="19" t="s">
        <v>250</v>
      </c>
      <c r="M4" s="19" t="s">
        <v>194</v>
      </c>
      <c r="N4" s="19" t="s">
        <v>174</v>
      </c>
      <c r="O4" s="19" t="s">
        <v>195</v>
      </c>
      <c r="P4" s="19" t="s">
        <v>185</v>
      </c>
      <c r="Q4" s="19" t="s">
        <v>186</v>
      </c>
    </row>
    <row r="5" spans="1:17" x14ac:dyDescent="0.25">
      <c r="A5" s="20">
        <v>40770</v>
      </c>
      <c r="B5" s="1" t="s">
        <v>262</v>
      </c>
      <c r="C5" s="1" t="s">
        <v>180</v>
      </c>
      <c r="D5" s="1" t="s">
        <v>181</v>
      </c>
      <c r="E5" s="1">
        <v>14.641200000000001</v>
      </c>
      <c r="F5" s="1" t="str">
        <f t="shared" si="1"/>
        <v>Colorado</v>
      </c>
      <c r="G5" s="21" t="str">
        <f t="shared" si="0"/>
        <v>Denver</v>
      </c>
      <c r="L5" s="1" t="s">
        <v>251</v>
      </c>
      <c r="M5" s="1" t="s">
        <v>173</v>
      </c>
      <c r="N5" s="1" t="s">
        <v>174</v>
      </c>
      <c r="O5" s="1" t="s">
        <v>175</v>
      </c>
      <c r="P5" s="1" t="s">
        <v>176</v>
      </c>
      <c r="Q5" s="1" t="s">
        <v>177</v>
      </c>
    </row>
    <row r="6" spans="1:17" x14ac:dyDescent="0.25">
      <c r="A6" s="18">
        <v>40770</v>
      </c>
      <c r="B6" s="19" t="s">
        <v>262</v>
      </c>
      <c r="C6" s="19" t="s">
        <v>180</v>
      </c>
      <c r="D6" s="19" t="s">
        <v>196</v>
      </c>
      <c r="E6" s="19">
        <v>39.729199999999999</v>
      </c>
      <c r="F6" s="1" t="str">
        <f t="shared" si="1"/>
        <v>Colorado</v>
      </c>
      <c r="G6" s="21" t="str">
        <f t="shared" si="0"/>
        <v>Denver</v>
      </c>
      <c r="L6" s="19" t="s">
        <v>252</v>
      </c>
      <c r="M6" s="19" t="s">
        <v>182</v>
      </c>
      <c r="N6" s="19" t="s">
        <v>183</v>
      </c>
      <c r="O6" s="19" t="s">
        <v>184</v>
      </c>
      <c r="P6" s="19" t="s">
        <v>185</v>
      </c>
      <c r="Q6" s="19" t="s">
        <v>186</v>
      </c>
    </row>
    <row r="7" spans="1:17" x14ac:dyDescent="0.25">
      <c r="A7" s="20">
        <v>40770</v>
      </c>
      <c r="B7" s="1" t="s">
        <v>262</v>
      </c>
      <c r="C7" s="1" t="s">
        <v>180</v>
      </c>
      <c r="D7" s="1" t="s">
        <v>210</v>
      </c>
      <c r="E7" s="1">
        <v>7.1657600000000006</v>
      </c>
      <c r="F7" s="1" t="str">
        <f t="shared" si="1"/>
        <v>Colorado</v>
      </c>
      <c r="G7" s="21" t="str">
        <f t="shared" si="0"/>
        <v>Denver</v>
      </c>
      <c r="L7" s="1" t="s">
        <v>253</v>
      </c>
      <c r="M7" s="1" t="s">
        <v>221</v>
      </c>
      <c r="N7" s="1" t="s">
        <v>174</v>
      </c>
      <c r="O7" s="1" t="s">
        <v>217</v>
      </c>
      <c r="P7" s="1" t="s">
        <v>218</v>
      </c>
      <c r="Q7" s="1" t="s">
        <v>219</v>
      </c>
    </row>
    <row r="8" spans="1:17" x14ac:dyDescent="0.25">
      <c r="A8" s="18">
        <v>40770</v>
      </c>
      <c r="B8" s="19" t="s">
        <v>262</v>
      </c>
      <c r="C8" s="19" t="s">
        <v>178</v>
      </c>
      <c r="D8" s="19" t="s">
        <v>222</v>
      </c>
      <c r="E8" s="19">
        <v>466.42511999999999</v>
      </c>
      <c r="F8" s="1" t="str">
        <f t="shared" si="1"/>
        <v>Colorado</v>
      </c>
      <c r="G8" s="21" t="str">
        <f t="shared" si="0"/>
        <v>Denver</v>
      </c>
      <c r="L8" s="19" t="s">
        <v>254</v>
      </c>
      <c r="M8" s="19" t="s">
        <v>223</v>
      </c>
      <c r="N8" s="19" t="s">
        <v>174</v>
      </c>
      <c r="O8" s="19" t="s">
        <v>224</v>
      </c>
      <c r="P8" s="19" t="s">
        <v>77</v>
      </c>
      <c r="Q8" s="19" t="s">
        <v>186</v>
      </c>
    </row>
    <row r="9" spans="1:17" x14ac:dyDescent="0.25">
      <c r="A9" s="20">
        <v>40854</v>
      </c>
      <c r="B9" s="1" t="s">
        <v>254</v>
      </c>
      <c r="C9" s="1" t="s">
        <v>180</v>
      </c>
      <c r="D9" s="1" t="s">
        <v>210</v>
      </c>
      <c r="E9" s="1">
        <v>10.866240000000003</v>
      </c>
      <c r="F9" s="1" t="str">
        <f t="shared" si="1"/>
        <v>Colorado</v>
      </c>
      <c r="G9" s="21" t="str">
        <f t="shared" si="0"/>
        <v>Marysville</v>
      </c>
      <c r="L9" s="1" t="s">
        <v>255</v>
      </c>
      <c r="M9" s="1" t="s">
        <v>239</v>
      </c>
      <c r="N9" s="1" t="s">
        <v>183</v>
      </c>
      <c r="O9" s="1" t="s">
        <v>240</v>
      </c>
      <c r="P9" s="1" t="s">
        <v>192</v>
      </c>
      <c r="Q9" s="1" t="s">
        <v>177</v>
      </c>
    </row>
    <row r="10" spans="1:17" x14ac:dyDescent="0.25">
      <c r="A10" s="18">
        <v>40854</v>
      </c>
      <c r="B10" s="19" t="s">
        <v>255</v>
      </c>
      <c r="C10" s="19" t="s">
        <v>178</v>
      </c>
      <c r="D10" s="19" t="s">
        <v>205</v>
      </c>
      <c r="E10" s="19">
        <v>1261.701</v>
      </c>
      <c r="F10" s="1" t="str">
        <f t="shared" si="1"/>
        <v>Washington</v>
      </c>
      <c r="G10" s="21" t="str">
        <f t="shared" si="0"/>
        <v>Laredo</v>
      </c>
      <c r="L10" s="19" t="s">
        <v>256</v>
      </c>
      <c r="M10" s="19" t="s">
        <v>230</v>
      </c>
      <c r="N10" s="19" t="s">
        <v>183</v>
      </c>
      <c r="O10" s="19" t="s">
        <v>227</v>
      </c>
      <c r="P10" s="19" t="s">
        <v>228</v>
      </c>
      <c r="Q10" s="19" t="s">
        <v>186</v>
      </c>
    </row>
    <row r="11" spans="1:17" x14ac:dyDescent="0.25">
      <c r="A11" s="20">
        <v>40893</v>
      </c>
      <c r="B11" s="1" t="s">
        <v>264</v>
      </c>
      <c r="C11" s="1" t="s">
        <v>178</v>
      </c>
      <c r="D11" s="1" t="s">
        <v>205</v>
      </c>
      <c r="E11" s="1">
        <v>22.7164</v>
      </c>
      <c r="F11" s="1" t="str">
        <f t="shared" si="1"/>
        <v>Texas</v>
      </c>
      <c r="G11" s="21" t="str">
        <f t="shared" si="0"/>
        <v>San Diego</v>
      </c>
      <c r="L11" s="1" t="s">
        <v>257</v>
      </c>
      <c r="M11" s="1" t="s">
        <v>207</v>
      </c>
      <c r="N11" s="1" t="s">
        <v>208</v>
      </c>
      <c r="O11" s="1" t="s">
        <v>209</v>
      </c>
      <c r="P11" s="1" t="s">
        <v>77</v>
      </c>
      <c r="Q11" s="1" t="s">
        <v>186</v>
      </c>
    </row>
    <row r="12" spans="1:17" x14ac:dyDescent="0.25">
      <c r="A12" s="18">
        <v>40893</v>
      </c>
      <c r="B12" s="19" t="s">
        <v>265</v>
      </c>
      <c r="C12" s="19" t="s">
        <v>197</v>
      </c>
      <c r="D12" s="19" t="s">
        <v>198</v>
      </c>
      <c r="E12" s="19">
        <v>55.820799999999998</v>
      </c>
      <c r="F12" s="1" t="str">
        <f t="shared" si="1"/>
        <v>California</v>
      </c>
      <c r="G12" s="21" t="str">
        <f t="shared" si="0"/>
        <v>Los Angeles</v>
      </c>
      <c r="L12" s="19" t="s">
        <v>258</v>
      </c>
      <c r="M12" s="19" t="s">
        <v>206</v>
      </c>
      <c r="N12" s="19" t="s">
        <v>174</v>
      </c>
      <c r="O12" s="19" t="s">
        <v>204</v>
      </c>
      <c r="P12" s="19" t="s">
        <v>190</v>
      </c>
      <c r="Q12" s="19" t="s">
        <v>191</v>
      </c>
    </row>
    <row r="13" spans="1:17" x14ac:dyDescent="0.25">
      <c r="A13" s="20">
        <v>41068</v>
      </c>
      <c r="B13" s="1" t="s">
        <v>258</v>
      </c>
      <c r="C13" s="1" t="s">
        <v>180</v>
      </c>
      <c r="D13" s="1" t="s">
        <v>215</v>
      </c>
      <c r="E13" s="1">
        <v>18.314239999999998</v>
      </c>
      <c r="F13" s="1" t="str">
        <f t="shared" si="1"/>
        <v>California</v>
      </c>
      <c r="G13" s="21" t="str">
        <f t="shared" si="0"/>
        <v>Tampa</v>
      </c>
      <c r="L13" s="1" t="s">
        <v>259</v>
      </c>
      <c r="M13" s="1" t="s">
        <v>216</v>
      </c>
      <c r="N13" s="1" t="s">
        <v>183</v>
      </c>
      <c r="O13" s="1" t="s">
        <v>217</v>
      </c>
      <c r="P13" s="1" t="s">
        <v>218</v>
      </c>
      <c r="Q13" s="1" t="s">
        <v>219</v>
      </c>
    </row>
    <row r="14" spans="1:17" x14ac:dyDescent="0.25">
      <c r="A14" s="18">
        <v>41068</v>
      </c>
      <c r="B14" s="19" t="s">
        <v>258</v>
      </c>
      <c r="C14" s="19" t="s">
        <v>197</v>
      </c>
      <c r="D14" s="19" t="s">
        <v>198</v>
      </c>
      <c r="E14" s="19">
        <v>11.430720000000001</v>
      </c>
      <c r="F14" s="1" t="str">
        <f t="shared" si="1"/>
        <v>Florida</v>
      </c>
      <c r="G14" s="21" t="str">
        <f t="shared" si="0"/>
        <v>Tampa</v>
      </c>
      <c r="L14" s="19" t="s">
        <v>260</v>
      </c>
      <c r="M14" s="19" t="s">
        <v>244</v>
      </c>
      <c r="N14" s="19" t="s">
        <v>174</v>
      </c>
      <c r="O14" s="19" t="s">
        <v>242</v>
      </c>
      <c r="P14" s="19" t="s">
        <v>185</v>
      </c>
      <c r="Q14" s="19" t="s">
        <v>186</v>
      </c>
    </row>
    <row r="15" spans="1:17" x14ac:dyDescent="0.25">
      <c r="A15" s="20">
        <v>41068</v>
      </c>
      <c r="B15" s="1" t="s">
        <v>259</v>
      </c>
      <c r="C15" s="1" t="s">
        <v>178</v>
      </c>
      <c r="D15" s="1" t="s">
        <v>205</v>
      </c>
      <c r="E15" s="1">
        <v>188.13648000000001</v>
      </c>
      <c r="F15" s="1" t="str">
        <f t="shared" si="1"/>
        <v>Florida</v>
      </c>
      <c r="G15" s="21" t="str">
        <f t="shared" si="0"/>
        <v>New York City</v>
      </c>
      <c r="L15" s="1" t="s">
        <v>261</v>
      </c>
      <c r="M15" s="1" t="s">
        <v>237</v>
      </c>
      <c r="N15" s="1" t="s">
        <v>183</v>
      </c>
      <c r="O15" s="1" t="s">
        <v>234</v>
      </c>
      <c r="P15" s="1" t="s">
        <v>235</v>
      </c>
      <c r="Q15" s="1" t="s">
        <v>186</v>
      </c>
    </row>
    <row r="16" spans="1:17" x14ac:dyDescent="0.25">
      <c r="A16" s="18">
        <v>41068</v>
      </c>
      <c r="B16" s="19" t="s">
        <v>260</v>
      </c>
      <c r="C16" s="19" t="s">
        <v>178</v>
      </c>
      <c r="D16" s="19" t="s">
        <v>222</v>
      </c>
      <c r="E16" s="19">
        <v>489.18464000000006</v>
      </c>
      <c r="F16" s="1" t="str">
        <f t="shared" si="1"/>
        <v>New York</v>
      </c>
      <c r="G16" s="21" t="str">
        <f t="shared" si="0"/>
        <v>San Diego</v>
      </c>
      <c r="L16" s="19" t="s">
        <v>262</v>
      </c>
      <c r="M16" s="19" t="s">
        <v>229</v>
      </c>
      <c r="N16" s="19" t="s">
        <v>208</v>
      </c>
      <c r="O16" s="19" t="s">
        <v>227</v>
      </c>
      <c r="P16" s="19" t="s">
        <v>228</v>
      </c>
      <c r="Q16" s="19" t="s">
        <v>186</v>
      </c>
    </row>
    <row r="17" spans="1:17" x14ac:dyDescent="0.25">
      <c r="A17" s="20">
        <v>41068</v>
      </c>
      <c r="B17" s="1" t="s">
        <v>261</v>
      </c>
      <c r="C17" s="1" t="s">
        <v>180</v>
      </c>
      <c r="D17" s="1" t="s">
        <v>210</v>
      </c>
      <c r="E17" s="1">
        <v>11.6424</v>
      </c>
      <c r="F17" s="1" t="str">
        <f t="shared" si="1"/>
        <v>California</v>
      </c>
      <c r="G17" s="21" t="str">
        <f t="shared" si="0"/>
        <v>Salem</v>
      </c>
      <c r="L17" s="1" t="s">
        <v>263</v>
      </c>
      <c r="M17" s="1" t="s">
        <v>241</v>
      </c>
      <c r="N17" s="1" t="s">
        <v>183</v>
      </c>
      <c r="O17" s="1" t="s">
        <v>240</v>
      </c>
      <c r="P17" s="1" t="s">
        <v>192</v>
      </c>
      <c r="Q17" s="1" t="s">
        <v>177</v>
      </c>
    </row>
    <row r="18" spans="1:17" x14ac:dyDescent="0.25">
      <c r="A18" s="18">
        <v>41068</v>
      </c>
      <c r="B18" s="19" t="s">
        <v>261</v>
      </c>
      <c r="C18" s="19" t="s">
        <v>180</v>
      </c>
      <c r="D18" s="19" t="s">
        <v>181</v>
      </c>
      <c r="E18" s="19">
        <v>34.731199999999994</v>
      </c>
      <c r="F18" s="1" t="str">
        <f t="shared" si="1"/>
        <v>Oregon</v>
      </c>
      <c r="G18" s="21" t="str">
        <f t="shared" si="0"/>
        <v>Salem</v>
      </c>
      <c r="L18" s="19" t="s">
        <v>264</v>
      </c>
      <c r="M18" s="19" t="s">
        <v>243</v>
      </c>
      <c r="N18" s="19" t="s">
        <v>174</v>
      </c>
      <c r="O18" s="19" t="s">
        <v>242</v>
      </c>
      <c r="P18" s="19" t="s">
        <v>185</v>
      </c>
      <c r="Q18" s="19" t="s">
        <v>186</v>
      </c>
    </row>
    <row r="19" spans="1:17" x14ac:dyDescent="0.25">
      <c r="A19" s="20">
        <v>41068</v>
      </c>
      <c r="B19" s="1" t="s">
        <v>262</v>
      </c>
      <c r="C19" s="1" t="s">
        <v>180</v>
      </c>
      <c r="D19" s="1" t="s">
        <v>210</v>
      </c>
      <c r="E19" s="1">
        <v>65.79328000000001</v>
      </c>
      <c r="F19" s="1" t="str">
        <f t="shared" si="1"/>
        <v>Oregon</v>
      </c>
      <c r="G19" s="21" t="str">
        <f t="shared" si="0"/>
        <v>Denver</v>
      </c>
      <c r="L19" s="1" t="s">
        <v>265</v>
      </c>
      <c r="M19" s="1" t="s">
        <v>211</v>
      </c>
      <c r="N19" s="1" t="s">
        <v>174</v>
      </c>
      <c r="O19" s="1" t="s">
        <v>199</v>
      </c>
      <c r="P19" s="1" t="s">
        <v>185</v>
      </c>
      <c r="Q19" s="1" t="s">
        <v>186</v>
      </c>
    </row>
    <row r="20" spans="1:17" x14ac:dyDescent="0.25">
      <c r="A20" s="18">
        <v>41108</v>
      </c>
      <c r="B20" s="19" t="s">
        <v>251</v>
      </c>
      <c r="C20" s="19" t="s">
        <v>180</v>
      </c>
      <c r="D20" s="19" t="s">
        <v>201</v>
      </c>
      <c r="E20" s="19">
        <v>30.536799999999999</v>
      </c>
      <c r="F20" s="1" t="str">
        <f t="shared" si="1"/>
        <v>Colorado</v>
      </c>
      <c r="G20" s="21" t="str">
        <f t="shared" si="0"/>
        <v>Chicago</v>
      </c>
      <c r="L20" s="19" t="s">
        <v>266</v>
      </c>
      <c r="M20" s="19" t="s">
        <v>238</v>
      </c>
      <c r="N20" s="19" t="s">
        <v>183</v>
      </c>
      <c r="O20" s="19" t="s">
        <v>234</v>
      </c>
      <c r="P20" s="19" t="s">
        <v>235</v>
      </c>
      <c r="Q20" s="19" t="s">
        <v>186</v>
      </c>
    </row>
    <row r="21" spans="1:17" x14ac:dyDescent="0.25">
      <c r="A21" s="20">
        <v>41108</v>
      </c>
      <c r="B21" s="1" t="s">
        <v>251</v>
      </c>
      <c r="C21" s="1" t="s">
        <v>180</v>
      </c>
      <c r="D21" s="1" t="s">
        <v>202</v>
      </c>
      <c r="E21" s="1">
        <v>2.5577999999999999</v>
      </c>
      <c r="F21" s="1" t="str">
        <f t="shared" si="1"/>
        <v>Illinois</v>
      </c>
      <c r="G21" s="21" t="str">
        <f t="shared" si="0"/>
        <v>Chicago</v>
      </c>
      <c r="L21" s="1" t="s">
        <v>267</v>
      </c>
      <c r="M21" s="1" t="s">
        <v>220</v>
      </c>
      <c r="N21" s="1" t="s">
        <v>174</v>
      </c>
      <c r="O21" s="1" t="s">
        <v>217</v>
      </c>
      <c r="P21" s="1" t="s">
        <v>218</v>
      </c>
      <c r="Q21" s="1" t="s">
        <v>219</v>
      </c>
    </row>
    <row r="22" spans="1:17" x14ac:dyDescent="0.25">
      <c r="A22" s="18">
        <v>41108</v>
      </c>
      <c r="B22" s="19" t="s">
        <v>251</v>
      </c>
      <c r="C22" s="19" t="s">
        <v>197</v>
      </c>
      <c r="D22" s="19" t="s">
        <v>198</v>
      </c>
      <c r="E22" s="19">
        <v>10.125360000000001</v>
      </c>
      <c r="F22" s="1" t="str">
        <f t="shared" si="1"/>
        <v>Illinois</v>
      </c>
      <c r="G22" s="21" t="str">
        <f t="shared" si="0"/>
        <v>Chicago</v>
      </c>
      <c r="L22" s="19" t="s">
        <v>268</v>
      </c>
      <c r="M22" s="19" t="s">
        <v>188</v>
      </c>
      <c r="N22" s="19" t="s">
        <v>174</v>
      </c>
      <c r="O22" s="19" t="s">
        <v>189</v>
      </c>
      <c r="P22" s="19" t="s">
        <v>190</v>
      </c>
      <c r="Q22" s="19" t="s">
        <v>191</v>
      </c>
    </row>
    <row r="23" spans="1:17" x14ac:dyDescent="0.25">
      <c r="A23" s="20">
        <v>41543</v>
      </c>
      <c r="B23" s="1" t="s">
        <v>267</v>
      </c>
      <c r="C23" s="1" t="s">
        <v>180</v>
      </c>
      <c r="D23" s="1" t="s">
        <v>214</v>
      </c>
      <c r="E23" s="1">
        <v>38.886400000000002</v>
      </c>
      <c r="F23" s="1" t="str">
        <f t="shared" si="1"/>
        <v>Illinois</v>
      </c>
      <c r="G23" s="21" t="str">
        <f t="shared" si="0"/>
        <v>New York City</v>
      </c>
      <c r="L23" s="1" t="s">
        <v>269</v>
      </c>
      <c r="M23" s="1" t="s">
        <v>231</v>
      </c>
      <c r="N23" s="1" t="s">
        <v>208</v>
      </c>
      <c r="O23" s="1" t="s">
        <v>232</v>
      </c>
      <c r="P23" s="1" t="s">
        <v>233</v>
      </c>
      <c r="Q23" s="1" t="s">
        <v>191</v>
      </c>
    </row>
    <row r="24" spans="1:17" x14ac:dyDescent="0.25">
      <c r="A24" s="18">
        <v>41543</v>
      </c>
      <c r="B24" s="19" t="s">
        <v>268</v>
      </c>
      <c r="C24" s="19" t="s">
        <v>178</v>
      </c>
      <c r="D24" s="19" t="s">
        <v>205</v>
      </c>
      <c r="E24" s="19">
        <v>470.37060000000002</v>
      </c>
      <c r="F24" s="19"/>
      <c r="G24" s="21" t="str">
        <f t="shared" si="0"/>
        <v>Jacksonville</v>
      </c>
      <c r="L24" s="19" t="s">
        <v>270</v>
      </c>
      <c r="M24" s="19" t="s">
        <v>226</v>
      </c>
      <c r="N24" s="19" t="s">
        <v>174</v>
      </c>
      <c r="O24" s="19" t="s">
        <v>225</v>
      </c>
      <c r="P24" s="19" t="s">
        <v>185</v>
      </c>
      <c r="Q24" s="19" t="s">
        <v>186</v>
      </c>
    </row>
    <row r="25" spans="1:17" x14ac:dyDescent="0.25">
      <c r="A25" s="20">
        <v>41543</v>
      </c>
      <c r="B25" s="1" t="s">
        <v>269</v>
      </c>
      <c r="C25" s="1" t="s">
        <v>180</v>
      </c>
      <c r="D25" s="1" t="s">
        <v>202</v>
      </c>
      <c r="E25" s="1">
        <v>7.2324000000000002</v>
      </c>
      <c r="F25" s="1"/>
      <c r="G25" s="21" t="str">
        <f t="shared" si="0"/>
        <v>Richmond</v>
      </c>
      <c r="L25" s="1" t="s">
        <v>271</v>
      </c>
      <c r="M25" s="1" t="s">
        <v>213</v>
      </c>
      <c r="N25" s="1" t="s">
        <v>174</v>
      </c>
      <c r="O25" s="1" t="s">
        <v>209</v>
      </c>
      <c r="P25" s="1" t="s">
        <v>77</v>
      </c>
      <c r="Q25" s="1" t="s">
        <v>186</v>
      </c>
    </row>
    <row r="26" spans="1:17" x14ac:dyDescent="0.25">
      <c r="A26" s="18">
        <v>41543</v>
      </c>
      <c r="B26" s="19" t="s">
        <v>269</v>
      </c>
      <c r="C26" s="19" t="s">
        <v>180</v>
      </c>
      <c r="D26" s="19" t="s">
        <v>210</v>
      </c>
      <c r="E26" s="19">
        <v>13.970880000000001</v>
      </c>
      <c r="F26" s="19"/>
      <c r="G26" s="21" t="str">
        <f t="shared" si="0"/>
        <v>Richmond</v>
      </c>
      <c r="L26" s="1"/>
    </row>
    <row r="27" spans="1:17" x14ac:dyDescent="0.25">
      <c r="A27" s="20">
        <v>41543</v>
      </c>
      <c r="B27" s="1" t="s">
        <v>270</v>
      </c>
      <c r="C27" s="1" t="s">
        <v>180</v>
      </c>
      <c r="D27" s="1" t="s">
        <v>181</v>
      </c>
      <c r="E27" s="1">
        <v>80.340400000000002</v>
      </c>
      <c r="F27" s="1"/>
      <c r="G27" s="21" t="str">
        <f t="shared" si="0"/>
        <v>Long Beach</v>
      </c>
      <c r="L27" s="1"/>
    </row>
    <row r="28" spans="1:17" x14ac:dyDescent="0.25">
      <c r="A28" s="18">
        <v>41543</v>
      </c>
      <c r="B28" s="19" t="s">
        <v>271</v>
      </c>
      <c r="C28" s="19" t="s">
        <v>180</v>
      </c>
      <c r="D28" s="19" t="s">
        <v>210</v>
      </c>
      <c r="E28" s="19">
        <v>38.831520000000012</v>
      </c>
      <c r="F28" s="19"/>
      <c r="L28" s="1"/>
    </row>
    <row r="29" spans="1:17" x14ac:dyDescent="0.25">
      <c r="A29" s="20">
        <v>41543</v>
      </c>
      <c r="B29" s="1" t="s">
        <v>271</v>
      </c>
      <c r="C29" s="1" t="s">
        <v>197</v>
      </c>
      <c r="D29" s="1" t="s">
        <v>200</v>
      </c>
      <c r="E29" s="1">
        <v>391.67856</v>
      </c>
      <c r="F29" s="1"/>
      <c r="L29" s="1"/>
    </row>
    <row r="30" spans="1:17" x14ac:dyDescent="0.25">
      <c r="A30" s="18">
        <v>41558</v>
      </c>
      <c r="B30" s="19" t="s">
        <v>265</v>
      </c>
      <c r="C30" s="19" t="s">
        <v>197</v>
      </c>
      <c r="D30" s="19" t="s">
        <v>198</v>
      </c>
      <c r="E30" s="19">
        <v>13.680800000000001</v>
      </c>
      <c r="F30" s="19"/>
    </row>
    <row r="31" spans="1:17" x14ac:dyDescent="0.25">
      <c r="A31" s="20">
        <v>41558</v>
      </c>
      <c r="B31" s="1" t="s">
        <v>266</v>
      </c>
      <c r="C31" s="1" t="s">
        <v>178</v>
      </c>
      <c r="D31" s="1" t="s">
        <v>205</v>
      </c>
      <c r="E31" s="1">
        <v>81.290999999999997</v>
      </c>
      <c r="F31" s="1"/>
    </row>
    <row r="32" spans="1:17" x14ac:dyDescent="0.25">
      <c r="A32" s="18">
        <v>41569</v>
      </c>
      <c r="B32" s="19" t="s">
        <v>251</v>
      </c>
      <c r="C32" s="19" t="s">
        <v>180</v>
      </c>
      <c r="D32" s="19" t="s">
        <v>181</v>
      </c>
      <c r="E32" s="19">
        <v>10.160640000000003</v>
      </c>
      <c r="F32" s="19"/>
    </row>
    <row r="33" spans="1:6" x14ac:dyDescent="0.25">
      <c r="A33" s="20">
        <v>41569</v>
      </c>
      <c r="B33" s="1" t="s">
        <v>252</v>
      </c>
      <c r="C33" s="1" t="s">
        <v>178</v>
      </c>
      <c r="D33" s="1" t="s">
        <v>205</v>
      </c>
      <c r="E33" s="1">
        <v>20.368320000000001</v>
      </c>
      <c r="F33" s="1"/>
    </row>
    <row r="34" spans="1:6" x14ac:dyDescent="0.25">
      <c r="A34" s="18">
        <v>41606</v>
      </c>
      <c r="B34" s="19" t="s">
        <v>256</v>
      </c>
      <c r="C34" s="19" t="s">
        <v>180</v>
      </c>
      <c r="D34" s="19" t="s">
        <v>196</v>
      </c>
      <c r="E34" s="19">
        <v>164.738</v>
      </c>
      <c r="F34" s="19"/>
    </row>
    <row r="35" spans="1:6" x14ac:dyDescent="0.25">
      <c r="A35" s="20">
        <v>41606</v>
      </c>
      <c r="B35" s="1" t="s">
        <v>257</v>
      </c>
      <c r="C35" s="1" t="s">
        <v>180</v>
      </c>
      <c r="D35" s="1" t="s">
        <v>201</v>
      </c>
      <c r="E35" s="1">
        <v>50.928639999999994</v>
      </c>
      <c r="F35" s="1"/>
    </row>
    <row r="36" spans="1:6" x14ac:dyDescent="0.25">
      <c r="A36" s="18">
        <v>41606</v>
      </c>
      <c r="B36" s="19" t="s">
        <v>257</v>
      </c>
      <c r="C36" s="19" t="s">
        <v>180</v>
      </c>
      <c r="D36" s="19" t="s">
        <v>214</v>
      </c>
      <c r="E36" s="19">
        <v>4.6726399999999995</v>
      </c>
      <c r="F36" s="19"/>
    </row>
    <row r="37" spans="1:6" x14ac:dyDescent="0.25">
      <c r="A37" s="20">
        <v>41606</v>
      </c>
      <c r="B37" s="1" t="s">
        <v>257</v>
      </c>
      <c r="C37" s="1" t="s">
        <v>180</v>
      </c>
      <c r="D37" s="1" t="s">
        <v>215</v>
      </c>
      <c r="E37" s="1">
        <v>7.8204000000000002</v>
      </c>
      <c r="F37" s="1"/>
    </row>
    <row r="38" spans="1:6" x14ac:dyDescent="0.25">
      <c r="A38" s="18">
        <v>41651</v>
      </c>
      <c r="B38" s="19" t="s">
        <v>249</v>
      </c>
      <c r="C38" s="19" t="s">
        <v>178</v>
      </c>
      <c r="D38" s="19" t="s">
        <v>187</v>
      </c>
      <c r="E38" s="19">
        <v>978.87299999999993</v>
      </c>
      <c r="F38" s="19"/>
    </row>
    <row r="39" spans="1:6" x14ac:dyDescent="0.25">
      <c r="A39" s="20">
        <v>41651</v>
      </c>
      <c r="B39" s="1" t="s">
        <v>250</v>
      </c>
      <c r="C39" s="1" t="s">
        <v>180</v>
      </c>
      <c r="D39" s="1" t="s">
        <v>181</v>
      </c>
      <c r="E39" s="1">
        <v>24.0688</v>
      </c>
      <c r="F39" s="1"/>
    </row>
    <row r="40" spans="1:6" x14ac:dyDescent="0.25">
      <c r="A40" s="18">
        <v>41651</v>
      </c>
      <c r="B40" s="19" t="s">
        <v>250</v>
      </c>
      <c r="C40" s="19" t="s">
        <v>180</v>
      </c>
      <c r="D40" s="19" t="s">
        <v>193</v>
      </c>
      <c r="E40" s="19">
        <v>5.5565999999999995</v>
      </c>
      <c r="F40" s="19"/>
    </row>
    <row r="41" spans="1:6" x14ac:dyDescent="0.25">
      <c r="A41" s="20">
        <v>41651</v>
      </c>
      <c r="B41" s="1" t="s">
        <v>251</v>
      </c>
      <c r="C41" s="1" t="s">
        <v>180</v>
      </c>
      <c r="D41" s="1" t="s">
        <v>196</v>
      </c>
      <c r="E41" s="1">
        <v>14.049280000000001</v>
      </c>
      <c r="F41" s="1"/>
    </row>
    <row r="42" spans="1:6" x14ac:dyDescent="0.25">
      <c r="A42" s="18">
        <v>41651</v>
      </c>
      <c r="B42" s="19" t="s">
        <v>251</v>
      </c>
      <c r="C42" s="19" t="s">
        <v>197</v>
      </c>
      <c r="D42" s="19" t="s">
        <v>198</v>
      </c>
      <c r="E42" s="19">
        <v>100.25399999999999</v>
      </c>
      <c r="F42" s="19"/>
    </row>
    <row r="43" spans="1:6" x14ac:dyDescent="0.25">
      <c r="A43" s="20">
        <v>41780</v>
      </c>
      <c r="B43" s="1" t="s">
        <v>248</v>
      </c>
      <c r="C43" s="1" t="s">
        <v>178</v>
      </c>
      <c r="D43" s="1" t="s">
        <v>179</v>
      </c>
      <c r="E43" s="1">
        <v>470.38432</v>
      </c>
      <c r="F43" s="1"/>
    </row>
    <row r="44" spans="1:6" x14ac:dyDescent="0.25">
      <c r="A44" s="18">
        <v>41781</v>
      </c>
      <c r="B44" s="19" t="s">
        <v>248</v>
      </c>
      <c r="C44" s="19" t="s">
        <v>180</v>
      </c>
      <c r="D44" s="19" t="s">
        <v>181</v>
      </c>
      <c r="E44" s="19">
        <v>10.066560000000003</v>
      </c>
      <c r="F44" s="19"/>
    </row>
    <row r="45" spans="1:6" x14ac:dyDescent="0.25">
      <c r="A45" s="20">
        <v>41810</v>
      </c>
      <c r="B45" s="1" t="s">
        <v>262</v>
      </c>
      <c r="C45" s="1" t="s">
        <v>178</v>
      </c>
      <c r="D45" s="1" t="s">
        <v>205</v>
      </c>
      <c r="E45" s="1">
        <v>29.478400000000001</v>
      </c>
      <c r="F45" s="1"/>
    </row>
    <row r="46" spans="1:6" x14ac:dyDescent="0.25">
      <c r="A46" s="18">
        <v>41810</v>
      </c>
      <c r="B46" s="19" t="s">
        <v>263</v>
      </c>
      <c r="C46" s="19" t="s">
        <v>178</v>
      </c>
      <c r="D46" s="19" t="s">
        <v>205</v>
      </c>
      <c r="E46" s="19">
        <v>162.28800000000001</v>
      </c>
      <c r="F46" s="19"/>
    </row>
    <row r="47" spans="1:6" x14ac:dyDescent="0.25">
      <c r="A47" s="20">
        <v>41837</v>
      </c>
      <c r="B47" s="1" t="s">
        <v>264</v>
      </c>
      <c r="C47" s="1" t="s">
        <v>178</v>
      </c>
      <c r="D47" s="1" t="s">
        <v>222</v>
      </c>
      <c r="E47" s="1">
        <v>177.3408</v>
      </c>
      <c r="F47" s="1"/>
    </row>
    <row r="48" spans="1:6" x14ac:dyDescent="0.25">
      <c r="A48" s="18">
        <v>41842</v>
      </c>
      <c r="B48" s="19" t="s">
        <v>254</v>
      </c>
      <c r="C48" s="19" t="s">
        <v>180</v>
      </c>
      <c r="D48" s="19" t="s">
        <v>210</v>
      </c>
      <c r="E48" s="19">
        <v>16.903040000000001</v>
      </c>
      <c r="F48" s="19"/>
    </row>
    <row r="49" spans="1:6" x14ac:dyDescent="0.25">
      <c r="A49" s="20">
        <v>41848</v>
      </c>
      <c r="B49" s="1" t="s">
        <v>253</v>
      </c>
      <c r="C49" s="1" t="s">
        <v>180</v>
      </c>
      <c r="D49" s="1" t="s">
        <v>201</v>
      </c>
      <c r="E49" s="1">
        <v>65.620799999999988</v>
      </c>
      <c r="F49" s="1"/>
    </row>
    <row r="50" spans="1:6" x14ac:dyDescent="0.25">
      <c r="A50" s="18">
        <v>41897</v>
      </c>
      <c r="B50" s="19" t="s">
        <v>265</v>
      </c>
      <c r="C50" s="19" t="s">
        <v>197</v>
      </c>
      <c r="D50" s="19" t="s">
        <v>236</v>
      </c>
      <c r="E50" s="19">
        <v>346.49663999999996</v>
      </c>
      <c r="F50" s="19"/>
    </row>
    <row r="51" spans="1:6" x14ac:dyDescent="0.25">
      <c r="A51" s="20">
        <v>41912</v>
      </c>
      <c r="B51" s="1" t="s">
        <v>251</v>
      </c>
      <c r="C51" s="1" t="s">
        <v>197</v>
      </c>
      <c r="D51" s="1" t="s">
        <v>200</v>
      </c>
      <c r="E51" s="1">
        <v>595.36959999999999</v>
      </c>
      <c r="F5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selection activeCell="A10" sqref="A10:G14"/>
    </sheetView>
  </sheetViews>
  <sheetFormatPr defaultRowHeight="15" x14ac:dyDescent="0.25"/>
  <cols>
    <col min="1" max="1" width="27" customWidth="1"/>
    <col min="2" max="2" width="17.28515625" customWidth="1"/>
    <col min="3" max="3" width="14.28515625" customWidth="1"/>
    <col min="4" max="4" width="14.85546875" customWidth="1"/>
    <col min="5" max="5" width="17.140625" customWidth="1"/>
    <col min="10" max="10" width="12.140625" customWidth="1"/>
    <col min="11" max="11" width="21.28515625" customWidth="1"/>
  </cols>
  <sheetData>
    <row r="1" spans="1:16" ht="15.75" x14ac:dyDescent="0.25">
      <c r="A1" s="17" t="s">
        <v>247</v>
      </c>
      <c r="B1" s="19" t="s">
        <v>248</v>
      </c>
      <c r="C1" s="1" t="s">
        <v>249</v>
      </c>
      <c r="D1" s="19" t="s">
        <v>250</v>
      </c>
      <c r="E1" s="1" t="s">
        <v>251</v>
      </c>
      <c r="F1" s="19" t="s">
        <v>252</v>
      </c>
      <c r="G1" s="1" t="s">
        <v>253</v>
      </c>
      <c r="H1" s="19" t="s">
        <v>254</v>
      </c>
      <c r="I1" s="1" t="s">
        <v>255</v>
      </c>
      <c r="J1" s="19" t="s">
        <v>256</v>
      </c>
      <c r="K1" s="1" t="s">
        <v>257</v>
      </c>
      <c r="L1" s="19" t="s">
        <v>258</v>
      </c>
      <c r="M1" s="1" t="s">
        <v>259</v>
      </c>
      <c r="N1" s="19" t="s">
        <v>260</v>
      </c>
      <c r="O1" s="1" t="s">
        <v>261</v>
      </c>
    </row>
    <row r="2" spans="1:16" ht="15.75" x14ac:dyDescent="0.25">
      <c r="A2" s="17" t="s">
        <v>166</v>
      </c>
      <c r="B2" s="19" t="s">
        <v>212</v>
      </c>
      <c r="C2" s="1" t="s">
        <v>203</v>
      </c>
      <c r="D2" s="19" t="s">
        <v>194</v>
      </c>
      <c r="E2" s="1" t="s">
        <v>173</v>
      </c>
      <c r="F2" s="19" t="s">
        <v>182</v>
      </c>
      <c r="G2" s="1" t="s">
        <v>221</v>
      </c>
      <c r="H2" s="19" t="s">
        <v>223</v>
      </c>
      <c r="I2" s="1" t="s">
        <v>239</v>
      </c>
      <c r="J2" s="19" t="s">
        <v>230</v>
      </c>
      <c r="K2" s="1" t="s">
        <v>207</v>
      </c>
      <c r="L2" s="19" t="s">
        <v>206</v>
      </c>
      <c r="M2" s="1" t="s">
        <v>216</v>
      </c>
      <c r="N2" s="19" t="s">
        <v>244</v>
      </c>
      <c r="O2" s="1" t="s">
        <v>237</v>
      </c>
    </row>
    <row r="3" spans="1:16" ht="15.75" x14ac:dyDescent="0.25">
      <c r="A3" s="17" t="s">
        <v>167</v>
      </c>
      <c r="B3" s="19" t="s">
        <v>174</v>
      </c>
      <c r="C3" s="1" t="s">
        <v>174</v>
      </c>
      <c r="D3" s="19" t="s">
        <v>174</v>
      </c>
      <c r="E3" s="1" t="s">
        <v>174</v>
      </c>
      <c r="F3" s="19" t="s">
        <v>183</v>
      </c>
      <c r="G3" s="1" t="s">
        <v>174</v>
      </c>
      <c r="H3" s="19" t="s">
        <v>174</v>
      </c>
      <c r="I3" s="1" t="s">
        <v>183</v>
      </c>
      <c r="J3" s="19" t="s">
        <v>183</v>
      </c>
      <c r="K3" s="1" t="s">
        <v>208</v>
      </c>
      <c r="L3" s="19" t="s">
        <v>174</v>
      </c>
      <c r="M3" s="1" t="s">
        <v>183</v>
      </c>
      <c r="N3" s="19" t="s">
        <v>174</v>
      </c>
      <c r="O3" s="1" t="s">
        <v>183</v>
      </c>
    </row>
    <row r="4" spans="1:16" ht="15.75" x14ac:dyDescent="0.25">
      <c r="A4" s="17" t="s">
        <v>168</v>
      </c>
      <c r="B4" s="19" t="s">
        <v>209</v>
      </c>
      <c r="C4" s="1" t="s">
        <v>204</v>
      </c>
      <c r="D4" s="19" t="s">
        <v>195</v>
      </c>
      <c r="E4" s="1" t="s">
        <v>175</v>
      </c>
      <c r="F4" s="19" t="s">
        <v>184</v>
      </c>
      <c r="G4" s="1" t="s">
        <v>217</v>
      </c>
      <c r="H4" s="19" t="s">
        <v>224</v>
      </c>
      <c r="I4" s="1" t="s">
        <v>240</v>
      </c>
      <c r="J4" s="19" t="s">
        <v>227</v>
      </c>
      <c r="K4" s="54" t="s">
        <v>209</v>
      </c>
      <c r="L4" s="19" t="s">
        <v>204</v>
      </c>
      <c r="M4" s="1" t="s">
        <v>217</v>
      </c>
      <c r="N4" s="19" t="s">
        <v>242</v>
      </c>
      <c r="O4" s="1" t="s">
        <v>234</v>
      </c>
    </row>
    <row r="5" spans="1:16" s="63" customFormat="1" ht="15.75" x14ac:dyDescent="0.25">
      <c r="A5" s="60" t="s">
        <v>169</v>
      </c>
      <c r="B5" s="61" t="s">
        <v>77</v>
      </c>
      <c r="C5" s="62" t="s">
        <v>190</v>
      </c>
      <c r="D5" s="61" t="s">
        <v>185</v>
      </c>
      <c r="E5" s="62" t="s">
        <v>176</v>
      </c>
      <c r="F5" s="61" t="s">
        <v>185</v>
      </c>
      <c r="G5" s="62" t="s">
        <v>218</v>
      </c>
      <c r="H5" s="61" t="s">
        <v>77</v>
      </c>
      <c r="I5" s="62" t="s">
        <v>192</v>
      </c>
      <c r="J5" s="61" t="s">
        <v>228</v>
      </c>
      <c r="K5" s="62" t="s">
        <v>77</v>
      </c>
      <c r="L5" s="61" t="s">
        <v>190</v>
      </c>
      <c r="M5" s="62" t="s">
        <v>218</v>
      </c>
      <c r="N5" s="61" t="s">
        <v>185</v>
      </c>
      <c r="O5" s="62" t="s">
        <v>235</v>
      </c>
    </row>
    <row r="6" spans="1:16" ht="15.75" x14ac:dyDescent="0.25">
      <c r="A6" s="17" t="s">
        <v>170</v>
      </c>
      <c r="B6" s="19" t="s">
        <v>186</v>
      </c>
      <c r="C6" s="1" t="s">
        <v>191</v>
      </c>
      <c r="D6" s="19" t="s">
        <v>186</v>
      </c>
      <c r="E6" s="1" t="s">
        <v>177</v>
      </c>
      <c r="F6" s="19" t="s">
        <v>186</v>
      </c>
      <c r="G6" s="1" t="s">
        <v>219</v>
      </c>
      <c r="H6" s="19" t="s">
        <v>186</v>
      </c>
      <c r="I6" s="1" t="s">
        <v>177</v>
      </c>
      <c r="J6" s="19" t="s">
        <v>186</v>
      </c>
      <c r="K6" s="1" t="s">
        <v>186</v>
      </c>
      <c r="L6" s="19" t="s">
        <v>191</v>
      </c>
      <c r="M6" s="1" t="s">
        <v>219</v>
      </c>
      <c r="N6" s="19" t="s">
        <v>186</v>
      </c>
      <c r="O6" s="1" t="s">
        <v>186</v>
      </c>
    </row>
    <row r="10" spans="1:16" ht="15.75" x14ac:dyDescent="0.25">
      <c r="A10" s="17" t="s">
        <v>245</v>
      </c>
      <c r="B10" s="18">
        <v>40681</v>
      </c>
      <c r="C10" s="20">
        <v>40697</v>
      </c>
      <c r="D10" s="18">
        <v>40770</v>
      </c>
      <c r="E10" s="20">
        <v>40770</v>
      </c>
      <c r="F10" s="18">
        <v>40770</v>
      </c>
      <c r="G10" s="20">
        <v>40770</v>
      </c>
      <c r="H10" s="18">
        <v>40770</v>
      </c>
      <c r="I10" s="20">
        <v>40854</v>
      </c>
      <c r="J10" s="18">
        <v>40854</v>
      </c>
      <c r="K10" s="20">
        <v>40893</v>
      </c>
      <c r="L10" s="18">
        <v>40893</v>
      </c>
      <c r="M10" s="20">
        <v>41068</v>
      </c>
      <c r="N10" s="18">
        <v>41068</v>
      </c>
      <c r="O10" s="20">
        <v>41068</v>
      </c>
    </row>
    <row r="11" spans="1:16" ht="15.75" x14ac:dyDescent="0.25">
      <c r="A11" s="17" t="s">
        <v>247</v>
      </c>
      <c r="B11" s="19" t="s">
        <v>257</v>
      </c>
      <c r="C11" s="1" t="s">
        <v>271</v>
      </c>
      <c r="D11" s="19" t="s">
        <v>262</v>
      </c>
      <c r="E11" s="1" t="s">
        <v>262</v>
      </c>
      <c r="F11" s="19" t="s">
        <v>262</v>
      </c>
      <c r="G11" s="1" t="s">
        <v>262</v>
      </c>
      <c r="H11" s="19" t="s">
        <v>262</v>
      </c>
      <c r="I11" s="1" t="s">
        <v>254</v>
      </c>
      <c r="J11" s="19" t="s">
        <v>255</v>
      </c>
      <c r="K11" s="1" t="s">
        <v>264</v>
      </c>
      <c r="L11" s="19" t="s">
        <v>265</v>
      </c>
      <c r="M11" s="1" t="s">
        <v>258</v>
      </c>
      <c r="N11" s="19" t="s">
        <v>258</v>
      </c>
      <c r="O11" s="1" t="s">
        <v>259</v>
      </c>
    </row>
    <row r="12" spans="1:16" ht="15.75" x14ac:dyDescent="0.25">
      <c r="A12" s="17" t="s">
        <v>171</v>
      </c>
      <c r="B12" s="19" t="s">
        <v>180</v>
      </c>
      <c r="C12" s="1" t="s">
        <v>180</v>
      </c>
      <c r="D12" s="19" t="s">
        <v>180</v>
      </c>
      <c r="E12" s="1" t="s">
        <v>180</v>
      </c>
      <c r="F12" s="19" t="s">
        <v>180</v>
      </c>
      <c r="G12" s="1" t="s">
        <v>180</v>
      </c>
      <c r="H12" s="19" t="s">
        <v>178</v>
      </c>
      <c r="I12" s="1" t="s">
        <v>180</v>
      </c>
      <c r="J12" s="19" t="s">
        <v>178</v>
      </c>
      <c r="K12" s="1" t="s">
        <v>178</v>
      </c>
      <c r="L12" s="19" t="s">
        <v>197</v>
      </c>
      <c r="M12" s="1" t="s">
        <v>180</v>
      </c>
      <c r="N12" s="19" t="s">
        <v>197</v>
      </c>
      <c r="O12" s="1" t="s">
        <v>178</v>
      </c>
    </row>
    <row r="13" spans="1:16" ht="15.75" x14ac:dyDescent="0.25">
      <c r="A13" s="17" t="s">
        <v>172</v>
      </c>
      <c r="B13" s="19" t="s">
        <v>196</v>
      </c>
      <c r="C13" s="1" t="s">
        <v>201</v>
      </c>
      <c r="D13" s="19" t="s">
        <v>210</v>
      </c>
      <c r="E13" s="1" t="s">
        <v>181</v>
      </c>
      <c r="F13" s="19" t="s">
        <v>196</v>
      </c>
      <c r="G13" s="1" t="s">
        <v>210</v>
      </c>
      <c r="H13" s="19" t="s">
        <v>222</v>
      </c>
      <c r="I13" s="1" t="s">
        <v>210</v>
      </c>
      <c r="J13" s="19" t="s">
        <v>205</v>
      </c>
      <c r="K13" s="1" t="s">
        <v>205</v>
      </c>
      <c r="L13" s="19" t="s">
        <v>198</v>
      </c>
      <c r="M13" s="1" t="s">
        <v>215</v>
      </c>
      <c r="N13" s="19" t="s">
        <v>198</v>
      </c>
      <c r="O13" s="1" t="s">
        <v>205</v>
      </c>
    </row>
    <row r="14" spans="1:16" ht="15.75" x14ac:dyDescent="0.25">
      <c r="A14" s="17" t="s">
        <v>246</v>
      </c>
      <c r="B14" s="19">
        <v>15.248800000000001</v>
      </c>
      <c r="C14" s="1">
        <v>63.817600000000006</v>
      </c>
      <c r="D14" s="19">
        <v>4.2336</v>
      </c>
      <c r="E14" s="1">
        <v>14.641200000000001</v>
      </c>
      <c r="F14" s="19">
        <v>39.729199999999999</v>
      </c>
      <c r="G14" s="1">
        <v>7.1657600000000006</v>
      </c>
      <c r="H14" s="19">
        <v>466.42511999999999</v>
      </c>
      <c r="I14" s="1">
        <v>10.866240000000003</v>
      </c>
      <c r="J14" s="19">
        <v>1261.701</v>
      </c>
      <c r="K14" s="1">
        <v>22.7164</v>
      </c>
      <c r="L14" s="19">
        <v>55.820799999999998</v>
      </c>
      <c r="M14" s="1">
        <v>18.314239999999998</v>
      </c>
      <c r="N14" s="19">
        <v>11.430720000000001</v>
      </c>
      <c r="O14" s="1">
        <v>188.13648000000001</v>
      </c>
    </row>
    <row r="16" spans="1:16" ht="15.75" x14ac:dyDescent="0.25">
      <c r="A16" s="55" t="s">
        <v>168</v>
      </c>
      <c r="B16" s="56" t="str">
        <f>HLOOKUP(B11,$A$1:$O$6,4,TRUE)</f>
        <v>Seattle</v>
      </c>
      <c r="C16" s="56" t="str">
        <f>HLOOKUP(C11,A1:O6,4,TRUE)</f>
        <v>Salem</v>
      </c>
      <c r="D16" s="56" t="str">
        <f t="shared" ref="D16:O16" si="0">HLOOKUP(D11,$A$1:$O$6,4,TRUE)</f>
        <v>Salem</v>
      </c>
      <c r="E16" s="56" t="str">
        <f t="shared" si="0"/>
        <v>Salem</v>
      </c>
      <c r="F16" s="56" t="str">
        <f t="shared" si="0"/>
        <v>Salem</v>
      </c>
      <c r="G16" s="56" t="str">
        <f t="shared" si="0"/>
        <v>Salem</v>
      </c>
      <c r="H16" s="56" t="str">
        <f t="shared" si="0"/>
        <v>Salem</v>
      </c>
      <c r="I16" s="56" t="str">
        <f t="shared" si="0"/>
        <v>Marysville</v>
      </c>
      <c r="J16" s="56" t="str">
        <f t="shared" si="0"/>
        <v>Laredo</v>
      </c>
      <c r="K16" s="56" t="str">
        <f t="shared" si="0"/>
        <v>Salem</v>
      </c>
      <c r="L16" s="56" t="str">
        <f t="shared" si="0"/>
        <v>Salem</v>
      </c>
      <c r="M16" s="56" t="str">
        <f t="shared" si="0"/>
        <v>Tampa</v>
      </c>
      <c r="N16" s="56" t="str">
        <f t="shared" si="0"/>
        <v>Tampa</v>
      </c>
      <c r="O16" s="56" t="str">
        <f t="shared" si="0"/>
        <v>New York City</v>
      </c>
      <c r="P16" s="56"/>
    </row>
    <row r="20" spans="2:15" x14ac:dyDescent="0.25">
      <c r="B20" t="str">
        <f>HLOOKUP(B1,A1:O6,2,TRUE)</f>
        <v>Alejandro Grove</v>
      </c>
      <c r="C20" s="21" t="str">
        <f t="shared" ref="C20:O20" si="1">HLOOKUP(C1,B1:P6,2,FALSE)</f>
        <v>Andrew Allen</v>
      </c>
      <c r="D20" s="21" t="str">
        <f t="shared" si="1"/>
        <v>Brosina Hoffman</v>
      </c>
      <c r="E20" s="21" t="str">
        <f t="shared" si="1"/>
        <v>Claire Gute</v>
      </c>
      <c r="F20" s="21" t="str">
        <f t="shared" si="1"/>
        <v>Darrin Van Huff</v>
      </c>
      <c r="G20" s="21" t="str">
        <f t="shared" si="1"/>
        <v>Emily Burns</v>
      </c>
      <c r="H20" s="21" t="str">
        <f t="shared" si="1"/>
        <v>Eric Hoffmann</v>
      </c>
      <c r="I20" s="21" t="str">
        <f t="shared" si="1"/>
        <v>Erin Smith</v>
      </c>
      <c r="J20" s="21" t="str">
        <f t="shared" si="1"/>
        <v>Gene Hale</v>
      </c>
      <c r="K20" s="21" t="str">
        <f t="shared" si="1"/>
        <v>Harold Pawlan</v>
      </c>
      <c r="L20" s="21" t="str">
        <f t="shared" si="1"/>
        <v>Irene Maddox</v>
      </c>
      <c r="M20" s="21" t="str">
        <f t="shared" si="1"/>
        <v>Ken Black</v>
      </c>
      <c r="N20" s="21" t="str">
        <f t="shared" si="1"/>
        <v>Lena Hernandez</v>
      </c>
      <c r="O20" s="21" t="str">
        <f t="shared" si="1"/>
        <v>Linda Cazamias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"/>
  <sheetViews>
    <sheetView workbookViewId="0">
      <selection activeCell="I21" sqref="I21"/>
    </sheetView>
  </sheetViews>
  <sheetFormatPr defaultRowHeight="15" x14ac:dyDescent="0.25"/>
  <cols>
    <col min="1" max="1" width="9.140625" style="1"/>
    <col min="2" max="2" width="13.7109375" style="1" bestFit="1" customWidth="1"/>
    <col min="3" max="3" width="4.85546875" style="1" bestFit="1" customWidth="1"/>
    <col min="4" max="4" width="8.7109375" style="1" bestFit="1" customWidth="1"/>
    <col min="5" max="5" width="5.7109375" style="1" bestFit="1" customWidth="1"/>
    <col min="6" max="6" width="4.5703125" style="1" bestFit="1" customWidth="1"/>
    <col min="7" max="10" width="9.140625" style="1"/>
    <col min="11" max="11" width="6.140625" style="1" bestFit="1" customWidth="1"/>
    <col min="12" max="12" width="8.140625" style="1" bestFit="1" customWidth="1"/>
    <col min="13" max="13" width="16.42578125" style="1" bestFit="1" customWidth="1"/>
    <col min="14" max="14" width="11.7109375" style="1" customWidth="1"/>
    <col min="15" max="16384" width="9.140625" style="1"/>
  </cols>
  <sheetData>
    <row r="2" spans="2:14" x14ac:dyDescent="0.25">
      <c r="B2" s="64" t="s">
        <v>285</v>
      </c>
      <c r="C2" s="64"/>
      <c r="D2" s="64"/>
      <c r="E2" s="64"/>
      <c r="F2" s="64"/>
    </row>
    <row r="3" spans="2:14" x14ac:dyDescent="0.25">
      <c r="B3" s="2"/>
      <c r="C3" s="3" t="s">
        <v>275</v>
      </c>
      <c r="D3" s="3" t="s">
        <v>276</v>
      </c>
      <c r="E3" s="3" t="s">
        <v>277</v>
      </c>
      <c r="F3" s="3" t="s">
        <v>278</v>
      </c>
      <c r="K3" s="3" t="s">
        <v>279</v>
      </c>
      <c r="L3" s="3" t="s">
        <v>280</v>
      </c>
      <c r="M3" s="3" t="s">
        <v>281</v>
      </c>
      <c r="N3" s="3" t="s">
        <v>284</v>
      </c>
    </row>
    <row r="4" spans="2:14" x14ac:dyDescent="0.25">
      <c r="B4" s="2" t="s">
        <v>272</v>
      </c>
      <c r="C4" s="2">
        <v>200</v>
      </c>
      <c r="D4" s="2">
        <v>250</v>
      </c>
      <c r="E4" s="2">
        <v>250</v>
      </c>
      <c r="F4" s="2">
        <v>400</v>
      </c>
      <c r="K4" s="2" t="s">
        <v>248</v>
      </c>
      <c r="L4" s="2" t="s">
        <v>276</v>
      </c>
      <c r="M4" s="2" t="s">
        <v>272</v>
      </c>
      <c r="N4" s="2"/>
    </row>
    <row r="5" spans="2:14" x14ac:dyDescent="0.25">
      <c r="B5" s="2" t="s">
        <v>273</v>
      </c>
      <c r="C5" s="2">
        <v>375</v>
      </c>
      <c r="D5" s="2">
        <v>375</v>
      </c>
      <c r="E5" s="2">
        <v>450</v>
      </c>
      <c r="F5" s="2">
        <v>800</v>
      </c>
      <c r="K5" s="2" t="s">
        <v>248</v>
      </c>
      <c r="L5" s="2" t="s">
        <v>276</v>
      </c>
      <c r="M5" s="2" t="s">
        <v>282</v>
      </c>
      <c r="N5" s="2"/>
    </row>
    <row r="6" spans="2:14" x14ac:dyDescent="0.25">
      <c r="B6" s="2" t="s">
        <v>274</v>
      </c>
      <c r="C6" s="2">
        <v>125</v>
      </c>
      <c r="D6" s="2">
        <v>250</v>
      </c>
      <c r="E6" s="2">
        <v>325</v>
      </c>
      <c r="F6" s="2">
        <v>350</v>
      </c>
      <c r="K6" s="2" t="s">
        <v>249</v>
      </c>
      <c r="L6" s="2" t="s">
        <v>275</v>
      </c>
      <c r="M6" s="2" t="s">
        <v>283</v>
      </c>
      <c r="N6" s="2"/>
    </row>
    <row r="7" spans="2:14" x14ac:dyDescent="0.25">
      <c r="B7" s="2" t="s">
        <v>282</v>
      </c>
      <c r="C7" s="2">
        <v>675</v>
      </c>
      <c r="D7" s="2">
        <v>750</v>
      </c>
      <c r="E7" s="2">
        <v>750</v>
      </c>
      <c r="F7" s="2">
        <v>900</v>
      </c>
      <c r="K7" s="2" t="s">
        <v>250</v>
      </c>
      <c r="L7" s="2" t="s">
        <v>278</v>
      </c>
      <c r="M7" s="2" t="s">
        <v>273</v>
      </c>
      <c r="N7" s="2"/>
    </row>
    <row r="8" spans="2:14" x14ac:dyDescent="0.25">
      <c r="B8" s="2" t="s">
        <v>283</v>
      </c>
      <c r="C8" s="2">
        <v>500</v>
      </c>
      <c r="D8" s="2">
        <v>500</v>
      </c>
      <c r="E8" s="2">
        <v>650</v>
      </c>
      <c r="F8" s="2">
        <v>850</v>
      </c>
      <c r="K8" s="2" t="s">
        <v>250</v>
      </c>
      <c r="L8" s="2" t="s">
        <v>278</v>
      </c>
      <c r="M8" s="2" t="s">
        <v>272</v>
      </c>
      <c r="N8" s="2"/>
    </row>
    <row r="9" spans="2:14" x14ac:dyDescent="0.25">
      <c r="K9" s="2" t="s">
        <v>251</v>
      </c>
      <c r="L9" s="2" t="s">
        <v>277</v>
      </c>
      <c r="M9" s="2" t="s">
        <v>274</v>
      </c>
      <c r="N9" s="2"/>
    </row>
    <row r="10" spans="2:14" x14ac:dyDescent="0.25">
      <c r="K10" s="2" t="s">
        <v>251</v>
      </c>
      <c r="L10" s="2" t="s">
        <v>277</v>
      </c>
      <c r="M10" s="2" t="s">
        <v>282</v>
      </c>
      <c r="N10" s="2"/>
    </row>
  </sheetData>
  <mergeCells count="1">
    <mergeCell ref="B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63"/>
  <sheetViews>
    <sheetView tabSelected="1" topLeftCell="B42" workbookViewId="0">
      <selection activeCell="J60" sqref="J60"/>
    </sheetView>
  </sheetViews>
  <sheetFormatPr defaultRowHeight="15" x14ac:dyDescent="0.25"/>
  <cols>
    <col min="1" max="2" width="9.140625" style="22"/>
    <col min="3" max="3" width="32.85546875" style="22" bestFit="1" customWidth="1"/>
    <col min="4" max="4" width="17.42578125" style="22" bestFit="1" customWidth="1"/>
    <col min="5" max="5" width="14.42578125" style="22" customWidth="1"/>
    <col min="6" max="6" width="23.28515625" style="22" customWidth="1"/>
    <col min="7" max="7" width="13" style="38" customWidth="1"/>
    <col min="8" max="9" width="9.140625" style="22"/>
    <col min="10" max="10" width="12.5703125" style="22" bestFit="1" customWidth="1"/>
    <col min="11" max="11" width="9.140625" style="22"/>
    <col min="12" max="12" width="18.7109375" style="22" customWidth="1"/>
    <col min="13" max="13" width="14.7109375" style="22" bestFit="1" customWidth="1"/>
    <col min="14" max="14" width="11.28515625" style="22" bestFit="1" customWidth="1"/>
    <col min="15" max="16384" width="9.140625" style="22"/>
  </cols>
  <sheetData>
    <row r="3" spans="3:12" x14ac:dyDescent="0.25">
      <c r="G3" s="23"/>
      <c r="H3" s="24"/>
      <c r="I3" s="24"/>
      <c r="J3" s="25"/>
    </row>
    <row r="4" spans="3:12" x14ac:dyDescent="0.25">
      <c r="C4" s="26" t="s">
        <v>286</v>
      </c>
      <c r="D4" s="27">
        <v>550000</v>
      </c>
      <c r="G4" s="28">
        <v>50000</v>
      </c>
      <c r="H4" s="29"/>
      <c r="I4" s="29"/>
      <c r="J4" s="30">
        <v>50000</v>
      </c>
    </row>
    <row r="5" spans="3:12" x14ac:dyDescent="0.25">
      <c r="C5" s="26" t="s">
        <v>287</v>
      </c>
      <c r="D5" s="27">
        <v>180000</v>
      </c>
      <c r="G5" s="31">
        <v>10000</v>
      </c>
      <c r="H5" s="29"/>
      <c r="I5" s="29">
        <v>1</v>
      </c>
      <c r="J5" s="30">
        <f>J4-$G$7</f>
        <v>42000</v>
      </c>
      <c r="L5" s="22">
        <f>J4-J5</f>
        <v>8000</v>
      </c>
    </row>
    <row r="6" spans="3:12" x14ac:dyDescent="0.25">
      <c r="C6" s="26" t="s">
        <v>288</v>
      </c>
      <c r="D6" s="32">
        <v>7</v>
      </c>
      <c r="G6" s="28">
        <v>5</v>
      </c>
      <c r="H6" s="29"/>
      <c r="I6" s="29">
        <v>2</v>
      </c>
      <c r="J6" s="30">
        <f t="shared" ref="J6:J9" si="0">J5-$G$7</f>
        <v>34000</v>
      </c>
      <c r="L6" s="22">
        <f>J5-J6</f>
        <v>8000</v>
      </c>
    </row>
    <row r="7" spans="3:12" x14ac:dyDescent="0.25">
      <c r="C7" s="26" t="s">
        <v>289</v>
      </c>
      <c r="D7" s="33"/>
      <c r="G7" s="28">
        <f>SLN(G4,G5,G6)</f>
        <v>8000</v>
      </c>
      <c r="H7" s="29"/>
      <c r="I7" s="29">
        <v>3</v>
      </c>
      <c r="J7" s="30">
        <f t="shared" si="0"/>
        <v>26000</v>
      </c>
    </row>
    <row r="8" spans="3:12" x14ac:dyDescent="0.25">
      <c r="C8" s="26" t="s">
        <v>12</v>
      </c>
      <c r="D8" s="34" t="s">
        <v>290</v>
      </c>
      <c r="F8" s="22">
        <f>SLN(D4,D5,D6)</f>
        <v>52857.142857142855</v>
      </c>
      <c r="G8" s="28"/>
      <c r="H8" s="29"/>
      <c r="I8" s="29">
        <v>4</v>
      </c>
      <c r="J8" s="30">
        <f t="shared" si="0"/>
        <v>18000</v>
      </c>
    </row>
    <row r="9" spans="3:12" x14ac:dyDescent="0.25">
      <c r="F9" s="22">
        <f>F8*7</f>
        <v>370000</v>
      </c>
      <c r="G9" s="35"/>
      <c r="H9" s="36"/>
      <c r="I9" s="36">
        <v>5</v>
      </c>
      <c r="J9" s="37">
        <f t="shared" si="0"/>
        <v>10000</v>
      </c>
    </row>
    <row r="14" spans="3:12" x14ac:dyDescent="0.25">
      <c r="C14" s="26" t="s">
        <v>286</v>
      </c>
      <c r="D14" s="27">
        <v>630000</v>
      </c>
    </row>
    <row r="15" spans="3:12" x14ac:dyDescent="0.25">
      <c r="C15" s="26" t="s">
        <v>287</v>
      </c>
      <c r="D15" s="27">
        <v>210000</v>
      </c>
    </row>
    <row r="16" spans="3:12" x14ac:dyDescent="0.25">
      <c r="C16" s="26" t="s">
        <v>288</v>
      </c>
      <c r="D16" s="32">
        <v>6</v>
      </c>
    </row>
    <row r="19" spans="2:10" x14ac:dyDescent="0.25">
      <c r="E19" s="39" t="s">
        <v>299</v>
      </c>
      <c r="F19" s="40"/>
    </row>
    <row r="20" spans="2:10" x14ac:dyDescent="0.25">
      <c r="B20" s="22">
        <v>1</v>
      </c>
      <c r="C20" s="26" t="s">
        <v>291</v>
      </c>
      <c r="D20" s="27"/>
      <c r="E20" s="41" t="e">
        <f>D20/$D$28</f>
        <v>#DIV/0!</v>
      </c>
      <c r="F20" s="42"/>
      <c r="G20" s="38">
        <f>SYD($D$14,$D$15,$D$16,B20)</f>
        <v>120000</v>
      </c>
      <c r="I20" s="22">
        <f>(G20/$G$27)*100</f>
        <v>28.571428571428569</v>
      </c>
      <c r="J20" s="22">
        <f>SYD($D$14,$D$15,$D$16,B20)</f>
        <v>120000</v>
      </c>
    </row>
    <row r="21" spans="2:10" x14ac:dyDescent="0.25">
      <c r="B21" s="22">
        <v>2</v>
      </c>
      <c r="C21" s="26" t="s">
        <v>292</v>
      </c>
      <c r="D21" s="27"/>
      <c r="E21" s="41" t="e">
        <f t="shared" ref="E21:E25" si="1">D21/$D$28</f>
        <v>#DIV/0!</v>
      </c>
      <c r="F21" s="42"/>
      <c r="G21" s="38">
        <f t="shared" ref="G21:G25" si="2">SYD($D$14,$D$15,$D$16,B21)</f>
        <v>100000</v>
      </c>
      <c r="I21" s="22">
        <f t="shared" ref="I21:I25" si="3">(G21/$G$27)*100</f>
        <v>23.809523809523807</v>
      </c>
      <c r="J21" s="22">
        <f t="shared" ref="J21:J25" si="4">SYD($D$14,$D$15,$D$16,B21)</f>
        <v>100000</v>
      </c>
    </row>
    <row r="22" spans="2:10" x14ac:dyDescent="0.25">
      <c r="B22" s="22">
        <v>3</v>
      </c>
      <c r="C22" s="26" t="s">
        <v>293</v>
      </c>
      <c r="D22" s="27"/>
      <c r="E22" s="41" t="e">
        <f t="shared" si="1"/>
        <v>#DIV/0!</v>
      </c>
      <c r="F22" s="42"/>
      <c r="G22" s="38">
        <f t="shared" si="2"/>
        <v>80000</v>
      </c>
      <c r="I22" s="22">
        <f t="shared" si="3"/>
        <v>19.047619047619047</v>
      </c>
      <c r="J22" s="22">
        <f t="shared" si="4"/>
        <v>80000</v>
      </c>
    </row>
    <row r="23" spans="2:10" x14ac:dyDescent="0.25">
      <c r="B23" s="22">
        <v>4</v>
      </c>
      <c r="C23" s="26" t="s">
        <v>294</v>
      </c>
      <c r="D23" s="27"/>
      <c r="E23" s="41" t="e">
        <f t="shared" si="1"/>
        <v>#DIV/0!</v>
      </c>
      <c r="F23" s="42"/>
      <c r="G23" s="38">
        <f t="shared" si="2"/>
        <v>60000</v>
      </c>
      <c r="I23" s="22">
        <f t="shared" si="3"/>
        <v>14.285714285714285</v>
      </c>
      <c r="J23" s="22">
        <f t="shared" si="4"/>
        <v>60000</v>
      </c>
    </row>
    <row r="24" spans="2:10" x14ac:dyDescent="0.25">
      <c r="B24" s="22">
        <v>5</v>
      </c>
      <c r="C24" s="26" t="s">
        <v>295</v>
      </c>
      <c r="D24" s="27"/>
      <c r="E24" s="41" t="e">
        <f t="shared" si="1"/>
        <v>#DIV/0!</v>
      </c>
      <c r="F24" s="42"/>
      <c r="G24" s="38">
        <f t="shared" si="2"/>
        <v>40000</v>
      </c>
      <c r="I24" s="22">
        <f t="shared" si="3"/>
        <v>9.5238095238095237</v>
      </c>
      <c r="J24" s="22">
        <f t="shared" si="4"/>
        <v>40000</v>
      </c>
    </row>
    <row r="25" spans="2:10" x14ac:dyDescent="0.25">
      <c r="B25" s="22">
        <v>6</v>
      </c>
      <c r="C25" s="26" t="s">
        <v>296</v>
      </c>
      <c r="D25" s="27"/>
      <c r="E25" s="41" t="e">
        <f t="shared" si="1"/>
        <v>#DIV/0!</v>
      </c>
      <c r="F25" s="42"/>
      <c r="G25" s="38">
        <f t="shared" si="2"/>
        <v>20000</v>
      </c>
      <c r="I25" s="22">
        <f t="shared" si="3"/>
        <v>4.7619047619047619</v>
      </c>
      <c r="J25" s="22">
        <f t="shared" si="4"/>
        <v>20000</v>
      </c>
    </row>
    <row r="26" spans="2:10" x14ac:dyDescent="0.25">
      <c r="D26" s="22" t="s">
        <v>297</v>
      </c>
    </row>
    <row r="27" spans="2:10" x14ac:dyDescent="0.25">
      <c r="F27" s="22" t="s">
        <v>312</v>
      </c>
      <c r="G27" s="38">
        <f>SUM(G20:G25)</f>
        <v>420000</v>
      </c>
    </row>
    <row r="28" spans="2:10" x14ac:dyDescent="0.25">
      <c r="C28" s="26" t="s">
        <v>298</v>
      </c>
      <c r="D28" s="27">
        <f>SUM(D20:D25)</f>
        <v>0</v>
      </c>
    </row>
    <row r="33" spans="3:13" x14ac:dyDescent="0.25">
      <c r="D33" s="43"/>
    </row>
    <row r="34" spans="3:13" x14ac:dyDescent="0.25">
      <c r="C34" s="26" t="s">
        <v>286</v>
      </c>
      <c r="D34" s="44">
        <v>630000</v>
      </c>
    </row>
    <row r="35" spans="3:13" x14ac:dyDescent="0.25">
      <c r="C35" s="26" t="s">
        <v>287</v>
      </c>
      <c r="D35" s="44">
        <v>210000</v>
      </c>
    </row>
    <row r="36" spans="3:13" x14ac:dyDescent="0.25">
      <c r="C36" s="26" t="s">
        <v>288</v>
      </c>
      <c r="D36" s="45">
        <v>6</v>
      </c>
    </row>
    <row r="38" spans="3:13" x14ac:dyDescent="0.25">
      <c r="C38" s="26" t="s">
        <v>300</v>
      </c>
      <c r="D38" s="41">
        <f>1-POWER(D35/D34,1/6)</f>
        <v>0.16731682234439571</v>
      </c>
    </row>
    <row r="39" spans="3:13" x14ac:dyDescent="0.25">
      <c r="L39" s="22" t="s">
        <v>310</v>
      </c>
    </row>
    <row r="40" spans="3:13" ht="30" x14ac:dyDescent="0.25">
      <c r="C40" s="46" t="s">
        <v>301</v>
      </c>
      <c r="D40" s="46" t="s">
        <v>302</v>
      </c>
      <c r="E40" s="46" t="s">
        <v>303</v>
      </c>
      <c r="F40" s="46"/>
      <c r="G40" s="47" t="s">
        <v>307</v>
      </c>
      <c r="J40" s="48" t="s">
        <v>309</v>
      </c>
      <c r="L40" s="22">
        <f>D34</f>
        <v>630000</v>
      </c>
      <c r="M40" s="22">
        <f>L40*0.16731</f>
        <v>105405.29999999999</v>
      </c>
    </row>
    <row r="41" spans="3:13" x14ac:dyDescent="0.25">
      <c r="C41" s="34">
        <v>1</v>
      </c>
      <c r="D41" s="22">
        <f>DB(D34,D35,D36,1)</f>
        <v>105210</v>
      </c>
      <c r="E41" s="27">
        <f>D34*$D$38</f>
        <v>105409.5980769693</v>
      </c>
      <c r="F41" s="27"/>
      <c r="G41" s="49">
        <f>D41/D34</f>
        <v>0.16700000000000001</v>
      </c>
      <c r="J41" s="48">
        <f>DB($D$34,$D$35,$D$36,C41)</f>
        <v>105210</v>
      </c>
      <c r="L41" s="22">
        <f>L40-M40</f>
        <v>524594.69999999995</v>
      </c>
      <c r="M41" s="22">
        <f>D34*0.1673</f>
        <v>105399</v>
      </c>
    </row>
    <row r="42" spans="3:13" x14ac:dyDescent="0.25">
      <c r="C42" s="34">
        <v>2</v>
      </c>
      <c r="D42" s="22" t="e">
        <f t="shared" ref="D42:D46" si="5">DB(D35,D36,D37,1)</f>
        <v>#NUM!</v>
      </c>
      <c r="E42" s="27">
        <f>($D$34-SUM(D41:$D$41))*$D$38</f>
        <v>87806.195198115427</v>
      </c>
      <c r="F42" s="27"/>
      <c r="G42" s="49" t="e">
        <f>D42/($D$34-SUM(D41:$D$41))</f>
        <v>#NUM!</v>
      </c>
      <c r="J42" s="48">
        <f t="shared" ref="J42:J45" si="6">DB($D$34,$D$35,$D$36,C42)</f>
        <v>87639.930000000008</v>
      </c>
      <c r="L42" s="22">
        <f t="shared" ref="L42:L46" si="7">L41-M41</f>
        <v>419195.69999999995</v>
      </c>
      <c r="M42" s="22">
        <f>L41*0.16731</f>
        <v>87769.939256999991</v>
      </c>
    </row>
    <row r="43" spans="3:13" x14ac:dyDescent="0.25">
      <c r="C43" s="34">
        <v>3</v>
      </c>
      <c r="D43" s="22" t="e">
        <f t="shared" si="5"/>
        <v>#NUM!</v>
      </c>
      <c r="E43" s="27" t="e">
        <f>($D$34-SUM(D$41:$D42))*$D$38</f>
        <v>#NUM!</v>
      </c>
      <c r="F43" s="27"/>
      <c r="G43" s="49" t="e">
        <f>D43/($D$34-SUM(D$41:$D42))</f>
        <v>#NUM!</v>
      </c>
      <c r="J43" s="48">
        <f t="shared" si="6"/>
        <v>73004.061690000002</v>
      </c>
      <c r="L43" s="22">
        <f t="shared" si="7"/>
        <v>331425.76074299996</v>
      </c>
      <c r="M43" s="22">
        <f t="shared" ref="M43:M46" si="8">L42*0.16731</f>
        <v>70135.632566999993</v>
      </c>
    </row>
    <row r="44" spans="3:13" x14ac:dyDescent="0.25">
      <c r="C44" s="34">
        <v>4</v>
      </c>
      <c r="D44" s="22" t="e">
        <f t="shared" si="5"/>
        <v>#NUM!</v>
      </c>
      <c r="E44" s="27" t="e">
        <f>($D$34-SUM(D$41:$D43))*$D$38</f>
        <v>#NUM!</v>
      </c>
      <c r="F44" s="27"/>
      <c r="G44" s="49" t="e">
        <f>D44/($D$34-SUM(D$41:$D43))</f>
        <v>#NUM!</v>
      </c>
      <c r="J44" s="48">
        <f t="shared" si="6"/>
        <v>60812.383387770002</v>
      </c>
      <c r="L44" s="22">
        <f t="shared" si="7"/>
        <v>261290.12817599997</v>
      </c>
      <c r="M44" s="22">
        <f t="shared" si="8"/>
        <v>55450.844029911321</v>
      </c>
    </row>
    <row r="45" spans="3:13" x14ac:dyDescent="0.25">
      <c r="C45" s="34">
        <v>5</v>
      </c>
      <c r="D45" s="22" t="e">
        <f t="shared" si="5"/>
        <v>#VALUE!</v>
      </c>
      <c r="E45" s="27" t="e">
        <f>($D$34-SUM(D$41:$D44))*$D$38</f>
        <v>#NUM!</v>
      </c>
      <c r="F45" s="27"/>
      <c r="G45" s="49" t="e">
        <f>D45/($D$34-SUM(D$41:$D44))</f>
        <v>#VALUE!</v>
      </c>
      <c r="J45" s="48">
        <f t="shared" si="6"/>
        <v>50656.715362012415</v>
      </c>
      <c r="L45" s="22">
        <f t="shared" si="7"/>
        <v>205839.28414608864</v>
      </c>
      <c r="M45" s="22">
        <f t="shared" si="8"/>
        <v>43716.451345126552</v>
      </c>
    </row>
    <row r="46" spans="3:13" x14ac:dyDescent="0.25">
      <c r="C46" s="34">
        <v>6</v>
      </c>
      <c r="D46" s="22" t="e">
        <f t="shared" si="5"/>
        <v>#VALUE!</v>
      </c>
      <c r="E46" s="27" t="e">
        <f>($D$34-SUM(D$41:$D45))*$D$38</f>
        <v>#NUM!</v>
      </c>
      <c r="F46" s="27"/>
      <c r="G46" s="49" t="e">
        <f>D46/($D$34-SUM(D$41:$D45))</f>
        <v>#VALUE!</v>
      </c>
      <c r="J46" s="48">
        <f>DB($D$34,$D$35,$D$36,C46)</f>
        <v>42197.043896556344</v>
      </c>
      <c r="L46" s="22">
        <f t="shared" si="7"/>
        <v>162122.83280096209</v>
      </c>
      <c r="M46" s="22">
        <f t="shared" si="8"/>
        <v>34438.970630482087</v>
      </c>
    </row>
    <row r="47" spans="3:13" x14ac:dyDescent="0.25">
      <c r="D47" s="22" t="s">
        <v>306</v>
      </c>
    </row>
    <row r="48" spans="3:13" x14ac:dyDescent="0.25">
      <c r="C48" s="26" t="s">
        <v>304</v>
      </c>
      <c r="D48" s="27" t="e">
        <f>SUM(D41:D46)</f>
        <v>#NUM!</v>
      </c>
      <c r="E48" s="27" t="e">
        <f>SUM(E41:E46)</f>
        <v>#NUM!</v>
      </c>
      <c r="F48" s="50"/>
    </row>
    <row r="49" spans="3:9" x14ac:dyDescent="0.25">
      <c r="C49" s="26" t="s">
        <v>305</v>
      </c>
      <c r="D49" s="51" t="e">
        <f>(D48-E48)/E48</f>
        <v>#NUM!</v>
      </c>
      <c r="E49" s="34"/>
      <c r="F49" s="52"/>
    </row>
    <row r="50" spans="3:9" x14ac:dyDescent="0.25">
      <c r="H50" s="48"/>
      <c r="I50" s="48">
        <f>(D35/D34)^(1/6)</f>
        <v>0.83268317765560429</v>
      </c>
    </row>
    <row r="51" spans="3:9" x14ac:dyDescent="0.25">
      <c r="D51" s="22">
        <f>DB($D$34,$D$35,$D$36,C46)</f>
        <v>42197.043896556344</v>
      </c>
      <c r="H51" s="48" t="s">
        <v>311</v>
      </c>
      <c r="I51" s="48">
        <f>1-I50</f>
        <v>0.16731682234439571</v>
      </c>
    </row>
    <row r="52" spans="3:9" x14ac:dyDescent="0.25">
      <c r="F52" s="22">
        <f>DB(D34,D35,D36,C41)</f>
        <v>105210</v>
      </c>
    </row>
    <row r="55" spans="3:9" x14ac:dyDescent="0.25">
      <c r="D55" s="22">
        <f>DB(D34,D35,D36,1)</f>
        <v>105210</v>
      </c>
    </row>
    <row r="56" spans="3:9" x14ac:dyDescent="0.25">
      <c r="D56" s="22" t="e">
        <f t="shared" ref="D56:D63" si="9">DB(D35,D36,D37,1)</f>
        <v>#NUM!</v>
      </c>
    </row>
    <row r="57" spans="3:9" x14ac:dyDescent="0.25">
      <c r="D57" s="22" t="e">
        <f t="shared" si="9"/>
        <v>#NUM!</v>
      </c>
      <c r="F57" s="22">
        <f>SYD($D$34,$D$35,$D$36,1)</f>
        <v>120000</v>
      </c>
    </row>
    <row r="58" spans="3:9" x14ac:dyDescent="0.25">
      <c r="D58" s="22" t="e">
        <f t="shared" si="9"/>
        <v>#NUM!</v>
      </c>
      <c r="F58" s="22">
        <f>SYD($D$34,$D$35,$D$36,2)</f>
        <v>100000</v>
      </c>
    </row>
    <row r="59" spans="3:9" x14ac:dyDescent="0.25">
      <c r="D59" s="22" t="e">
        <f t="shared" si="9"/>
        <v>#VALUE!</v>
      </c>
      <c r="F59" s="22">
        <f>SYD($D$34,$D$35,$D$36,3)</f>
        <v>80000</v>
      </c>
    </row>
    <row r="60" spans="3:9" x14ac:dyDescent="0.25">
      <c r="D60" s="22" t="e">
        <f t="shared" si="9"/>
        <v>#VALUE!</v>
      </c>
      <c r="F60" s="22">
        <f>SYD($D$34,$D$35,$D$36,4)</f>
        <v>60000</v>
      </c>
    </row>
    <row r="61" spans="3:9" x14ac:dyDescent="0.25">
      <c r="D61" s="22" t="e">
        <f t="shared" si="9"/>
        <v>#VALUE!</v>
      </c>
      <c r="F61" s="22">
        <f>SYD($D$34,$D$35,$D$36,5)</f>
        <v>40000</v>
      </c>
    </row>
    <row r="62" spans="3:9" x14ac:dyDescent="0.25">
      <c r="D62" s="22" t="e">
        <f t="shared" si="9"/>
        <v>#NUM!</v>
      </c>
      <c r="F62" s="22">
        <f>SYD($D$34,$D$35,$D$36,6)</f>
        <v>20000</v>
      </c>
    </row>
    <row r="63" spans="3:9" x14ac:dyDescent="0.25">
      <c r="D63" s="22" t="e">
        <f t="shared" si="9"/>
        <v>#NUM!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C16" sqref="C16"/>
    </sheetView>
  </sheetViews>
  <sheetFormatPr defaultRowHeight="15" x14ac:dyDescent="0.25"/>
  <cols>
    <col min="1" max="1" width="17" customWidth="1"/>
    <col min="2" max="2" width="13.42578125" customWidth="1"/>
    <col min="3" max="3" width="13.28515625" customWidth="1"/>
    <col min="4" max="4" width="17.28515625" customWidth="1"/>
    <col min="5" max="5" width="12.7109375" customWidth="1"/>
    <col min="6" max="6" width="17.5703125" customWidth="1"/>
  </cols>
  <sheetData>
    <row r="1" spans="1:7" ht="15.75" x14ac:dyDescent="0.25">
      <c r="A1" s="17" t="s">
        <v>247</v>
      </c>
      <c r="B1" s="19" t="s">
        <v>248</v>
      </c>
      <c r="C1" s="1" t="s">
        <v>249</v>
      </c>
      <c r="D1" s="19" t="s">
        <v>250</v>
      </c>
      <c r="E1" s="1" t="s">
        <v>251</v>
      </c>
    </row>
    <row r="2" spans="1:7" ht="15.75" x14ac:dyDescent="0.25">
      <c r="A2" s="17" t="s">
        <v>166</v>
      </c>
      <c r="B2" s="19" t="s">
        <v>212</v>
      </c>
      <c r="C2" s="1" t="s">
        <v>203</v>
      </c>
      <c r="D2" s="19" t="s">
        <v>194</v>
      </c>
      <c r="E2" s="1" t="s">
        <v>173</v>
      </c>
    </row>
    <row r="3" spans="1:7" ht="15.75" x14ac:dyDescent="0.25">
      <c r="A3" s="17" t="s">
        <v>167</v>
      </c>
      <c r="B3" s="19" t="s">
        <v>174</v>
      </c>
      <c r="C3" s="1" t="s">
        <v>174</v>
      </c>
      <c r="D3" s="19" t="s">
        <v>174</v>
      </c>
      <c r="E3" s="1" t="s">
        <v>174</v>
      </c>
    </row>
    <row r="4" spans="1:7" ht="15.75" x14ac:dyDescent="0.25">
      <c r="A4" s="17" t="s">
        <v>168</v>
      </c>
      <c r="B4" s="19" t="s">
        <v>209</v>
      </c>
      <c r="C4" s="1" t="s">
        <v>204</v>
      </c>
      <c r="D4" s="19" t="s">
        <v>195</v>
      </c>
      <c r="E4" s="1" t="s">
        <v>175</v>
      </c>
    </row>
    <row r="5" spans="1:7" ht="15.75" x14ac:dyDescent="0.25">
      <c r="A5" s="60" t="s">
        <v>169</v>
      </c>
      <c r="B5" s="61" t="s">
        <v>77</v>
      </c>
      <c r="C5" s="62" t="s">
        <v>190</v>
      </c>
      <c r="D5" s="61" t="s">
        <v>185</v>
      </c>
      <c r="E5" s="62" t="s">
        <v>176</v>
      </c>
    </row>
    <row r="6" spans="1:7" ht="15.75" x14ac:dyDescent="0.25">
      <c r="A6" s="17" t="s">
        <v>170</v>
      </c>
      <c r="B6" s="19" t="s">
        <v>186</v>
      </c>
      <c r="C6" s="1" t="s">
        <v>191</v>
      </c>
      <c r="D6" s="19" t="s">
        <v>186</v>
      </c>
      <c r="E6" s="1" t="s">
        <v>177</v>
      </c>
    </row>
    <row r="9" spans="1:7" ht="15.75" x14ac:dyDescent="0.25">
      <c r="A9" s="17" t="s">
        <v>245</v>
      </c>
      <c r="B9" s="18">
        <v>40681</v>
      </c>
      <c r="C9" s="20">
        <v>40697</v>
      </c>
      <c r="D9" s="18">
        <v>40770</v>
      </c>
      <c r="E9" s="20">
        <v>40770</v>
      </c>
      <c r="F9" s="18">
        <v>40770</v>
      </c>
      <c r="G9" s="20">
        <v>40770</v>
      </c>
    </row>
    <row r="10" spans="1:7" ht="15.75" x14ac:dyDescent="0.25">
      <c r="A10" s="17" t="s">
        <v>247</v>
      </c>
      <c r="B10" s="19" t="s">
        <v>257</v>
      </c>
      <c r="C10" s="1" t="s">
        <v>249</v>
      </c>
      <c r="D10" s="19" t="s">
        <v>262</v>
      </c>
      <c r="E10" s="1" t="s">
        <v>250</v>
      </c>
      <c r="F10" s="19" t="s">
        <v>262</v>
      </c>
      <c r="G10" s="1" t="s">
        <v>262</v>
      </c>
    </row>
    <row r="11" spans="1:7" ht="15.75" x14ac:dyDescent="0.25">
      <c r="A11" s="17" t="s">
        <v>171</v>
      </c>
      <c r="B11" s="19" t="s">
        <v>180</v>
      </c>
      <c r="C11" s="1" t="s">
        <v>180</v>
      </c>
      <c r="D11" s="19" t="s">
        <v>180</v>
      </c>
      <c r="E11" s="1" t="s">
        <v>180</v>
      </c>
      <c r="F11" s="19" t="s">
        <v>180</v>
      </c>
      <c r="G11" s="1" t="s">
        <v>180</v>
      </c>
    </row>
    <row r="12" spans="1:7" ht="15.75" x14ac:dyDescent="0.25">
      <c r="A12" s="17" t="s">
        <v>172</v>
      </c>
      <c r="B12" s="19" t="s">
        <v>196</v>
      </c>
      <c r="C12" s="1" t="s">
        <v>201</v>
      </c>
      <c r="D12" s="19" t="s">
        <v>210</v>
      </c>
      <c r="E12" s="1" t="s">
        <v>181</v>
      </c>
      <c r="F12" s="19" t="s">
        <v>196</v>
      </c>
      <c r="G12" s="1" t="s">
        <v>210</v>
      </c>
    </row>
    <row r="13" spans="1:7" ht="15.75" x14ac:dyDescent="0.25">
      <c r="A13" s="17" t="s">
        <v>246</v>
      </c>
      <c r="B13" s="19">
        <v>15.248800000000001</v>
      </c>
      <c r="C13" s="1">
        <v>63.817600000000006</v>
      </c>
      <c r="D13" s="19">
        <v>4.2336</v>
      </c>
      <c r="E13" s="1">
        <v>14.641200000000001</v>
      </c>
      <c r="F13" s="19">
        <v>39.729199999999999</v>
      </c>
      <c r="G13" s="1">
        <v>7.1657600000000006</v>
      </c>
    </row>
    <row r="16" spans="1:7" x14ac:dyDescent="0.25">
      <c r="B16" t="e">
        <f t="shared" ref="B16:G16" si="0">HLOOKUP(B10,MyData,2,FALSE)</f>
        <v>#N/A</v>
      </c>
      <c r="C16" s="21" t="str">
        <f t="shared" si="0"/>
        <v>Andrew Allen</v>
      </c>
      <c r="D16" s="21" t="e">
        <f t="shared" si="0"/>
        <v>#N/A</v>
      </c>
      <c r="E16" s="21" t="str">
        <f t="shared" si="0"/>
        <v>Brosina Hoffman</v>
      </c>
      <c r="F16" s="21" t="e">
        <f t="shared" si="0"/>
        <v>#N/A</v>
      </c>
      <c r="G16" s="21" t="e">
        <f t="shared" si="0"/>
        <v>#N/A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I25"/>
  <sheetViews>
    <sheetView workbookViewId="0">
      <selection activeCell="N15" sqref="N15"/>
    </sheetView>
  </sheetViews>
  <sheetFormatPr defaultRowHeight="15" x14ac:dyDescent="0.25"/>
  <sheetData>
    <row r="1" spans="4:9" ht="15.75" x14ac:dyDescent="0.25">
      <c r="D1" s="17" t="s">
        <v>247</v>
      </c>
      <c r="E1" s="17" t="s">
        <v>166</v>
      </c>
      <c r="F1" s="17" t="s">
        <v>167</v>
      </c>
      <c r="G1" s="17" t="s">
        <v>168</v>
      </c>
      <c r="H1" s="17" t="s">
        <v>169</v>
      </c>
      <c r="I1" s="17" t="s">
        <v>170</v>
      </c>
    </row>
    <row r="2" spans="4:9" x14ac:dyDescent="0.25">
      <c r="D2" s="19" t="s">
        <v>248</v>
      </c>
      <c r="E2" s="19" t="s">
        <v>212</v>
      </c>
      <c r="F2" s="19" t="s">
        <v>174</v>
      </c>
      <c r="G2" s="19" t="s">
        <v>209</v>
      </c>
      <c r="H2" s="19" t="s">
        <v>77</v>
      </c>
      <c r="I2" s="19" t="s">
        <v>186</v>
      </c>
    </row>
    <row r="3" spans="4:9" x14ac:dyDescent="0.25">
      <c r="D3" s="1" t="s">
        <v>249</v>
      </c>
      <c r="E3" s="1" t="s">
        <v>203</v>
      </c>
      <c r="F3" s="1" t="s">
        <v>174</v>
      </c>
      <c r="G3" s="1" t="s">
        <v>204</v>
      </c>
      <c r="H3" s="1" t="s">
        <v>190</v>
      </c>
      <c r="I3" s="1" t="s">
        <v>191</v>
      </c>
    </row>
    <row r="4" spans="4:9" x14ac:dyDescent="0.25">
      <c r="D4" s="19" t="s">
        <v>250</v>
      </c>
      <c r="E4" s="19" t="s">
        <v>194</v>
      </c>
      <c r="F4" s="19" t="s">
        <v>174</v>
      </c>
      <c r="G4" s="19" t="s">
        <v>195</v>
      </c>
      <c r="H4" s="19" t="s">
        <v>185</v>
      </c>
      <c r="I4" s="19" t="s">
        <v>186</v>
      </c>
    </row>
    <row r="5" spans="4:9" x14ac:dyDescent="0.25">
      <c r="D5" s="1" t="s">
        <v>251</v>
      </c>
      <c r="E5" s="1" t="s">
        <v>173</v>
      </c>
      <c r="F5" s="1" t="s">
        <v>174</v>
      </c>
      <c r="G5" s="1" t="s">
        <v>175</v>
      </c>
      <c r="H5" s="1" t="s">
        <v>176</v>
      </c>
      <c r="I5" s="1" t="s">
        <v>177</v>
      </c>
    </row>
    <row r="6" spans="4:9" x14ac:dyDescent="0.25">
      <c r="D6" s="19" t="s">
        <v>252</v>
      </c>
      <c r="E6" s="19" t="s">
        <v>182</v>
      </c>
      <c r="F6" s="19" t="s">
        <v>183</v>
      </c>
      <c r="G6" s="19" t="s">
        <v>184</v>
      </c>
      <c r="H6" s="19" t="s">
        <v>185</v>
      </c>
      <c r="I6" s="19" t="s">
        <v>186</v>
      </c>
    </row>
    <row r="7" spans="4:9" x14ac:dyDescent="0.25">
      <c r="D7" s="1" t="s">
        <v>253</v>
      </c>
      <c r="E7" s="1" t="s">
        <v>221</v>
      </c>
      <c r="F7" s="1" t="s">
        <v>174</v>
      </c>
      <c r="G7" s="1" t="s">
        <v>217</v>
      </c>
      <c r="H7" s="1" t="s">
        <v>218</v>
      </c>
      <c r="I7" s="1" t="s">
        <v>219</v>
      </c>
    </row>
    <row r="8" spans="4:9" x14ac:dyDescent="0.25">
      <c r="D8" s="19" t="s">
        <v>254</v>
      </c>
      <c r="E8" s="19" t="s">
        <v>223</v>
      </c>
      <c r="F8" s="19" t="s">
        <v>174</v>
      </c>
      <c r="G8" s="19" t="s">
        <v>224</v>
      </c>
      <c r="H8" s="19" t="s">
        <v>77</v>
      </c>
      <c r="I8" s="19" t="s">
        <v>186</v>
      </c>
    </row>
    <row r="9" spans="4:9" x14ac:dyDescent="0.25">
      <c r="D9" s="1" t="s">
        <v>255</v>
      </c>
      <c r="E9" s="1" t="s">
        <v>239</v>
      </c>
      <c r="F9" s="1" t="s">
        <v>183</v>
      </c>
      <c r="G9" s="1" t="s">
        <v>240</v>
      </c>
      <c r="H9" s="1" t="s">
        <v>192</v>
      </c>
      <c r="I9" s="1" t="s">
        <v>177</v>
      </c>
    </row>
    <row r="10" spans="4:9" x14ac:dyDescent="0.25">
      <c r="D10" s="19" t="s">
        <v>256</v>
      </c>
      <c r="E10" s="19" t="s">
        <v>230</v>
      </c>
      <c r="F10" s="19" t="s">
        <v>183</v>
      </c>
      <c r="G10" s="19" t="s">
        <v>227</v>
      </c>
      <c r="H10" s="19" t="s">
        <v>228</v>
      </c>
      <c r="I10" s="19" t="s">
        <v>186</v>
      </c>
    </row>
    <row r="11" spans="4:9" x14ac:dyDescent="0.25">
      <c r="D11" s="1" t="s">
        <v>257</v>
      </c>
      <c r="E11" s="1" t="s">
        <v>207</v>
      </c>
      <c r="F11" s="1" t="s">
        <v>208</v>
      </c>
      <c r="G11" s="1" t="s">
        <v>209</v>
      </c>
      <c r="H11" s="1" t="s">
        <v>77</v>
      </c>
      <c r="I11" s="1" t="s">
        <v>186</v>
      </c>
    </row>
    <row r="12" spans="4:9" x14ac:dyDescent="0.25">
      <c r="D12" s="19" t="s">
        <v>258</v>
      </c>
      <c r="E12" s="19" t="s">
        <v>206</v>
      </c>
      <c r="F12" s="19" t="s">
        <v>174</v>
      </c>
      <c r="G12" s="19" t="s">
        <v>204</v>
      </c>
      <c r="H12" s="19" t="s">
        <v>190</v>
      </c>
      <c r="I12" s="19" t="s">
        <v>191</v>
      </c>
    </row>
    <row r="13" spans="4:9" x14ac:dyDescent="0.25">
      <c r="D13" s="1" t="s">
        <v>259</v>
      </c>
      <c r="E13" s="1" t="s">
        <v>216</v>
      </c>
      <c r="F13" s="1" t="s">
        <v>183</v>
      </c>
      <c r="G13" s="1" t="s">
        <v>217</v>
      </c>
      <c r="H13" s="1" t="s">
        <v>218</v>
      </c>
      <c r="I13" s="1" t="s">
        <v>219</v>
      </c>
    </row>
    <row r="14" spans="4:9" x14ac:dyDescent="0.25">
      <c r="D14" s="19" t="s">
        <v>260</v>
      </c>
      <c r="E14" s="19" t="s">
        <v>244</v>
      </c>
      <c r="F14" s="19" t="s">
        <v>174</v>
      </c>
      <c r="G14" s="19" t="s">
        <v>242</v>
      </c>
      <c r="H14" s="19" t="s">
        <v>185</v>
      </c>
      <c r="I14" s="19" t="s">
        <v>186</v>
      </c>
    </row>
    <row r="15" spans="4:9" x14ac:dyDescent="0.25">
      <c r="D15" s="1" t="s">
        <v>261</v>
      </c>
      <c r="E15" s="1" t="s">
        <v>237</v>
      </c>
      <c r="F15" s="1" t="s">
        <v>183</v>
      </c>
      <c r="G15" s="1" t="s">
        <v>234</v>
      </c>
      <c r="H15" s="1" t="s">
        <v>235</v>
      </c>
      <c r="I15" s="1" t="s">
        <v>186</v>
      </c>
    </row>
    <row r="16" spans="4:9" x14ac:dyDescent="0.25">
      <c r="D16" s="19" t="s">
        <v>262</v>
      </c>
      <c r="E16" s="19" t="s">
        <v>229</v>
      </c>
      <c r="F16" s="19" t="s">
        <v>208</v>
      </c>
      <c r="G16" s="19" t="s">
        <v>227</v>
      </c>
      <c r="H16" s="19" t="s">
        <v>228</v>
      </c>
      <c r="I16" s="19" t="s">
        <v>186</v>
      </c>
    </row>
    <row r="17" spans="4:9" x14ac:dyDescent="0.25">
      <c r="D17" s="1" t="s">
        <v>263</v>
      </c>
      <c r="E17" s="1" t="s">
        <v>241</v>
      </c>
      <c r="F17" s="1" t="s">
        <v>183</v>
      </c>
      <c r="G17" s="1" t="s">
        <v>240</v>
      </c>
      <c r="H17" s="1" t="s">
        <v>192</v>
      </c>
      <c r="I17" s="1" t="s">
        <v>177</v>
      </c>
    </row>
    <row r="18" spans="4:9" x14ac:dyDescent="0.25">
      <c r="D18" s="19" t="s">
        <v>264</v>
      </c>
      <c r="E18" s="19" t="s">
        <v>243</v>
      </c>
      <c r="F18" s="19" t="s">
        <v>174</v>
      </c>
      <c r="G18" s="19" t="s">
        <v>242</v>
      </c>
      <c r="H18" s="19" t="s">
        <v>185</v>
      </c>
      <c r="I18" s="19" t="s">
        <v>186</v>
      </c>
    </row>
    <row r="19" spans="4:9" x14ac:dyDescent="0.25">
      <c r="D19" s="1" t="s">
        <v>265</v>
      </c>
      <c r="E19" s="1" t="s">
        <v>211</v>
      </c>
      <c r="F19" s="1" t="s">
        <v>174</v>
      </c>
      <c r="G19" s="1" t="s">
        <v>199</v>
      </c>
      <c r="H19" s="1" t="s">
        <v>185</v>
      </c>
      <c r="I19" s="1" t="s">
        <v>186</v>
      </c>
    </row>
    <row r="20" spans="4:9" x14ac:dyDescent="0.25">
      <c r="D20" s="19" t="s">
        <v>266</v>
      </c>
      <c r="E20" s="19" t="s">
        <v>238</v>
      </c>
      <c r="F20" s="19" t="s">
        <v>183</v>
      </c>
      <c r="G20" s="19" t="s">
        <v>234</v>
      </c>
      <c r="H20" s="19" t="s">
        <v>235</v>
      </c>
      <c r="I20" s="19" t="s">
        <v>186</v>
      </c>
    </row>
    <row r="21" spans="4:9" x14ac:dyDescent="0.25">
      <c r="D21" s="1" t="s">
        <v>267</v>
      </c>
      <c r="E21" s="1" t="s">
        <v>220</v>
      </c>
      <c r="F21" s="1" t="s">
        <v>174</v>
      </c>
      <c r="G21" s="1" t="s">
        <v>217</v>
      </c>
      <c r="H21" s="1" t="s">
        <v>218</v>
      </c>
      <c r="I21" s="1" t="s">
        <v>219</v>
      </c>
    </row>
    <row r="22" spans="4:9" x14ac:dyDescent="0.25">
      <c r="D22" s="19" t="s">
        <v>268</v>
      </c>
      <c r="E22" s="19" t="s">
        <v>188</v>
      </c>
      <c r="F22" s="19" t="s">
        <v>174</v>
      </c>
      <c r="G22" s="19" t="s">
        <v>189</v>
      </c>
      <c r="H22" s="19" t="s">
        <v>190</v>
      </c>
      <c r="I22" s="19" t="s">
        <v>191</v>
      </c>
    </row>
    <row r="23" spans="4:9" x14ac:dyDescent="0.25">
      <c r="D23" s="1" t="s">
        <v>269</v>
      </c>
      <c r="E23" s="1" t="s">
        <v>231</v>
      </c>
      <c r="F23" s="1" t="s">
        <v>208</v>
      </c>
      <c r="G23" s="1" t="s">
        <v>232</v>
      </c>
      <c r="H23" s="1" t="s">
        <v>233</v>
      </c>
      <c r="I23" s="1" t="s">
        <v>191</v>
      </c>
    </row>
    <row r="24" spans="4:9" x14ac:dyDescent="0.25">
      <c r="D24" s="19" t="s">
        <v>270</v>
      </c>
      <c r="E24" s="19" t="s">
        <v>226</v>
      </c>
      <c r="F24" s="19" t="s">
        <v>174</v>
      </c>
      <c r="G24" s="19" t="s">
        <v>225</v>
      </c>
      <c r="H24" s="19" t="s">
        <v>185</v>
      </c>
      <c r="I24" s="19" t="s">
        <v>186</v>
      </c>
    </row>
    <row r="25" spans="4:9" x14ac:dyDescent="0.25">
      <c r="D25" s="1" t="s">
        <v>271</v>
      </c>
      <c r="E25" s="1" t="s">
        <v>213</v>
      </c>
      <c r="F25" s="1" t="s">
        <v>174</v>
      </c>
      <c r="G25" s="1" t="s">
        <v>209</v>
      </c>
      <c r="H25" s="1" t="s">
        <v>77</v>
      </c>
      <c r="I25" s="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CONCATENATE</vt:lpstr>
      <vt:lpstr>CHOOSE</vt:lpstr>
      <vt:lpstr>Sports</vt:lpstr>
      <vt:lpstr>MATCH</vt:lpstr>
      <vt:lpstr>INDEX</vt:lpstr>
      <vt:lpstr>INDEX2</vt:lpstr>
      <vt:lpstr>Gradation</vt:lpstr>
      <vt:lpstr>VLOOKUP</vt:lpstr>
      <vt:lpstr>HLOOkup</vt:lpstr>
      <vt:lpstr>Car Service</vt:lpstr>
      <vt:lpstr>Depreciation</vt:lpstr>
      <vt:lpstr>Sheet1</vt:lpstr>
      <vt:lpstr>Sheet2</vt:lpstr>
      <vt:lpstr>BOX</vt:lpstr>
      <vt:lpstr>CountryData</vt:lpstr>
      <vt:lpstr>CountryInfo</vt:lpstr>
      <vt:lpstr>CustomerTable</vt:lpstr>
      <vt:lpstr>ICCRankings</vt:lpstr>
      <vt:lpstr>MyData</vt:lpstr>
      <vt:lpstr>TD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Insanalytics1</dc:creator>
  <cp:lastModifiedBy>INS</cp:lastModifiedBy>
  <dcterms:created xsi:type="dcterms:W3CDTF">2016-10-27T04:53:01Z</dcterms:created>
  <dcterms:modified xsi:type="dcterms:W3CDTF">2018-01-21T10:18:21Z</dcterms:modified>
</cp:coreProperties>
</file>